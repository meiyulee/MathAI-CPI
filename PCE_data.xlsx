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4.xml" ContentType="application/vnd.openxmlformats-officedocument.drawingml.chart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25.xml" ContentType="application/vnd.openxmlformats-officedocument.drawingml.chart+xml"/>
  <Override PartName="/xl/drawings/drawing50.xml" ContentType="application/vnd.openxmlformats-officedocument.drawingml.chartshapes+xml"/>
  <Override PartName="/xl/charts/chart26.xml" ContentType="application/vnd.openxmlformats-officedocument.drawingml.chart+xml"/>
  <Override PartName="/xl/drawings/drawing51.xml" ContentType="application/vnd.openxmlformats-officedocument.drawingml.chartshapes+xml"/>
  <Override PartName="/xl/charts/chart27.xml" ContentType="application/vnd.openxmlformats-officedocument.drawingml.chart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28.xml" ContentType="application/vnd.openxmlformats-officedocument.drawingml.chart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29.xml" ContentType="application/vnd.openxmlformats-officedocument.drawingml.chart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30.xml" ContentType="application/vnd.openxmlformats-officedocument.drawingml.chart+xml"/>
  <Override PartName="/xl/drawings/drawing58.xml" ContentType="application/vnd.openxmlformats-officedocument.drawingml.chartshapes+xml"/>
  <Override PartName="/xl/charts/chart31.xml" ContentType="application/vnd.openxmlformats-officedocument.drawingml.chart+xml"/>
  <Override PartName="/xl/drawings/drawing59.xml" ContentType="application/vnd.openxmlformats-officedocument.drawingml.chartshapes+xml"/>
  <Override PartName="/xl/drawings/drawing60.xml" ContentType="application/vnd.openxmlformats-officedocument.drawing+xml"/>
  <Override PartName="/xl/charts/chart32.xml" ContentType="application/vnd.openxmlformats-officedocument.drawingml.chart+xml"/>
  <Override PartName="/xl/drawings/drawing61.xml" ContentType="application/vnd.openxmlformats-officedocument.drawingml.chartshapes+xml"/>
  <Override PartName="/xl/drawings/drawing62.xml" ContentType="application/vnd.openxmlformats-officedocument.drawing+xml"/>
  <Override PartName="/xl/charts/chart33.xml" ContentType="application/vnd.openxmlformats-officedocument.drawingml.chart+xml"/>
  <Override PartName="/xl/drawings/drawing6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oeb\Desktop\"/>
    </mc:Choice>
  </mc:AlternateContent>
  <xr:revisionPtr revIDLastSave="0" documentId="13_ncr:1_{FC8B7BED-6BA2-43D1-B2B1-82CF318F1D3D}" xr6:coauthVersionLast="47" xr6:coauthVersionMax="47" xr10:uidLastSave="{00000000-0000-0000-0000-000000000000}"/>
  <bookViews>
    <workbookView xWindow="-108" yWindow="-108" windowWidth="23256" windowHeight="12456" tabRatio="780" activeTab="8" xr2:uid="{00000000-000D-0000-FFFF-FFFF00000000}"/>
  </bookViews>
  <sheets>
    <sheet name="202604" sheetId="33" r:id="rId1"/>
    <sheet name="202603" sheetId="32" r:id="rId2"/>
    <sheet name="202602" sheetId="31" r:id="rId3"/>
    <sheet name="202512" sheetId="29" r:id="rId4"/>
    <sheet name="202511" sheetId="28" r:id="rId5"/>
    <sheet name="202509" sheetId="27" r:id="rId6"/>
    <sheet name="202508" sheetId="26" r:id="rId7"/>
    <sheet name="202507" sheetId="25" r:id="rId8"/>
    <sheet name="202506" sheetId="24" r:id="rId9"/>
    <sheet name="202505" sheetId="22" r:id="rId10"/>
    <sheet name="202504" sheetId="21" r:id="rId11"/>
    <sheet name="202503" sheetId="20" r:id="rId12"/>
    <sheet name="202502" sheetId="19" r:id="rId13"/>
    <sheet name="202501" sheetId="18" r:id="rId14"/>
    <sheet name="202412" sheetId="17" r:id="rId15"/>
    <sheet name="202411" sheetId="16" r:id="rId16"/>
    <sheet name="202410" sheetId="14" r:id="rId17"/>
    <sheet name="202409" sheetId="13" r:id="rId18"/>
    <sheet name="202408" sheetId="12" r:id="rId19"/>
    <sheet name="202407" sheetId="11" r:id="rId20"/>
    <sheet name="202406" sheetId="10" r:id="rId21"/>
    <sheet name="202405" sheetId="9" r:id="rId22"/>
    <sheet name="202404" sheetId="8" r:id="rId23"/>
    <sheet name="202403" sheetId="7" r:id="rId24"/>
    <sheet name="202402" sheetId="6" r:id="rId25"/>
    <sheet name="202401" sheetId="2" r:id="rId26"/>
    <sheet name="202312" sheetId="1" r:id="rId27"/>
    <sheet name="202311" sheetId="4" r:id="rId28"/>
    <sheet name="202310" sheetId="5" r:id="rId29"/>
    <sheet name="202309" sheetId="15" r:id="rId30"/>
  </sheets>
  <externalReferences>
    <externalReference r:id="rId31"/>
  </externalReferences>
  <definedNames>
    <definedName name="_xlnm._FilterDatabase" localSheetId="15" hidden="1">'202411'!$E$24:$E$106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0" i="24" l="1"/>
  <c r="K115" i="25"/>
  <c r="K115" i="26"/>
  <c r="K115" i="27"/>
  <c r="K115" i="28"/>
  <c r="K120" i="31"/>
  <c r="K120" i="32"/>
  <c r="K120" i="33"/>
  <c r="K115" i="29"/>
  <c r="D123" i="33"/>
  <c r="D122" i="33"/>
  <c r="D121" i="33"/>
  <c r="D120" i="33"/>
  <c r="D119" i="33"/>
  <c r="D118" i="33"/>
  <c r="D117" i="33"/>
  <c r="D116" i="33"/>
  <c r="D115" i="33"/>
  <c r="D114" i="33"/>
  <c r="D113" i="33"/>
  <c r="D112" i="33"/>
  <c r="D111" i="33"/>
  <c r="D110" i="33"/>
  <c r="D109" i="33"/>
  <c r="D108" i="33"/>
  <c r="D107" i="33"/>
  <c r="D106" i="33"/>
  <c r="D105" i="33"/>
  <c r="D104" i="33"/>
  <c r="D103" i="33"/>
  <c r="D102" i="33"/>
  <c r="D101" i="33"/>
  <c r="D100" i="33"/>
  <c r="D99" i="33"/>
  <c r="D98" i="33"/>
  <c r="D97" i="33"/>
  <c r="D96" i="33"/>
  <c r="D95" i="33"/>
  <c r="D94" i="33"/>
  <c r="D93" i="33"/>
  <c r="D92" i="33"/>
  <c r="D91" i="33"/>
  <c r="D90" i="33"/>
  <c r="D89" i="33"/>
  <c r="D88" i="33"/>
  <c r="D87" i="33"/>
  <c r="D86" i="33"/>
  <c r="D85" i="33"/>
  <c r="D84" i="33"/>
  <c r="D83" i="33"/>
  <c r="D82" i="33"/>
  <c r="D81" i="33"/>
  <c r="D80" i="33"/>
  <c r="D79" i="33"/>
  <c r="D78" i="33"/>
  <c r="D77" i="33"/>
  <c r="D76" i="33"/>
  <c r="D75" i="33"/>
  <c r="D74" i="33"/>
  <c r="D73" i="33"/>
  <c r="D72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122" i="32" l="1"/>
  <c r="D121" i="32"/>
  <c r="D120" i="32"/>
  <c r="D119" i="32"/>
  <c r="D118" i="32"/>
  <c r="D117" i="32"/>
  <c r="D116" i="32"/>
  <c r="D115" i="32"/>
  <c r="D114" i="32"/>
  <c r="D113" i="32"/>
  <c r="D112" i="32"/>
  <c r="D111" i="32"/>
  <c r="D110" i="32"/>
  <c r="D109" i="32"/>
  <c r="D108" i="32"/>
  <c r="D107" i="32"/>
  <c r="D106" i="32"/>
  <c r="D105" i="32"/>
  <c r="D104" i="32"/>
  <c r="D103" i="32"/>
  <c r="D102" i="32"/>
  <c r="D101" i="32"/>
  <c r="D100" i="32"/>
  <c r="D99" i="32"/>
  <c r="D98" i="32"/>
  <c r="D97" i="32"/>
  <c r="D96" i="32"/>
  <c r="D95" i="32"/>
  <c r="D94" i="32"/>
  <c r="D93" i="32"/>
  <c r="D92" i="32"/>
  <c r="D91" i="32"/>
  <c r="D90" i="32"/>
  <c r="D89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75" i="32"/>
  <c r="D74" i="32"/>
  <c r="D73" i="32"/>
  <c r="D72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120" i="31"/>
  <c r="D121" i="31"/>
  <c r="D119" i="31"/>
  <c r="D118" i="31"/>
  <c r="D117" i="31"/>
  <c r="D116" i="31"/>
  <c r="D115" i="31"/>
  <c r="D114" i="31"/>
  <c r="D113" i="31"/>
  <c r="D112" i="31"/>
  <c r="D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119" i="29" l="1"/>
  <c r="D118" i="29"/>
  <c r="D117" i="29"/>
  <c r="D116" i="29"/>
  <c r="D115" i="29"/>
  <c r="D114" i="29"/>
  <c r="D113" i="29"/>
  <c r="D112" i="29"/>
  <c r="D111" i="29"/>
  <c r="D110" i="29"/>
  <c r="D109" i="29"/>
  <c r="D108" i="29"/>
  <c r="D107" i="29"/>
  <c r="D106" i="29"/>
  <c r="D105" i="29"/>
  <c r="D104" i="29"/>
  <c r="D103" i="29"/>
  <c r="D102" i="29"/>
  <c r="D101" i="29"/>
  <c r="D100" i="29"/>
  <c r="D99" i="29"/>
  <c r="D98" i="29"/>
  <c r="D97" i="29"/>
  <c r="D96" i="29"/>
  <c r="D95" i="29"/>
  <c r="D94" i="29"/>
  <c r="D93" i="29"/>
  <c r="D92" i="29"/>
  <c r="D91" i="29"/>
  <c r="D90" i="29"/>
  <c r="D89" i="29"/>
  <c r="D88" i="29"/>
  <c r="D87" i="29"/>
  <c r="D86" i="29"/>
  <c r="D85" i="29"/>
  <c r="D84" i="29"/>
  <c r="D83" i="29"/>
  <c r="D82" i="29"/>
  <c r="D81" i="29"/>
  <c r="D80" i="29"/>
  <c r="D79" i="29"/>
  <c r="D78" i="29"/>
  <c r="D77" i="29"/>
  <c r="D76" i="29"/>
  <c r="D75" i="29"/>
  <c r="D74" i="29"/>
  <c r="D73" i="29"/>
  <c r="D72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117" i="28" l="1"/>
  <c r="D118" i="28"/>
  <c r="D116" i="28"/>
  <c r="D115" i="28"/>
  <c r="D114" i="28"/>
  <c r="D113" i="28"/>
  <c r="D112" i="28"/>
  <c r="D111" i="28"/>
  <c r="D110" i="28"/>
  <c r="D109" i="28"/>
  <c r="D108" i="28"/>
  <c r="D107" i="28"/>
  <c r="D106" i="28"/>
  <c r="D105" i="28"/>
  <c r="D104" i="28"/>
  <c r="D103" i="28"/>
  <c r="D102" i="28"/>
  <c r="D101" i="28"/>
  <c r="D100" i="28"/>
  <c r="D99" i="28"/>
  <c r="D98" i="28"/>
  <c r="D97" i="28"/>
  <c r="D96" i="28"/>
  <c r="D95" i="28"/>
  <c r="D94" i="28"/>
  <c r="D93" i="28"/>
  <c r="D92" i="28"/>
  <c r="D91" i="28"/>
  <c r="D90" i="28"/>
  <c r="D89" i="28"/>
  <c r="D88" i="28"/>
  <c r="D87" i="28"/>
  <c r="D86" i="28"/>
  <c r="D85" i="28"/>
  <c r="D84" i="28"/>
  <c r="D83" i="28"/>
  <c r="D82" i="28"/>
  <c r="D81" i="28"/>
  <c r="D80" i="28"/>
  <c r="D79" i="28"/>
  <c r="D78" i="28"/>
  <c r="D77" i="28"/>
  <c r="D76" i="28"/>
  <c r="D75" i="28"/>
  <c r="D74" i="28"/>
  <c r="D73" i="28"/>
  <c r="D72" i="28"/>
  <c r="D71" i="28"/>
  <c r="D70" i="28"/>
  <c r="D69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116" i="27" l="1"/>
  <c r="D115" i="27"/>
  <c r="D114" i="27"/>
  <c r="D113" i="27"/>
  <c r="D112" i="27"/>
  <c r="D111" i="27"/>
  <c r="D110" i="27"/>
  <c r="D109" i="27"/>
  <c r="D108" i="27"/>
  <c r="D107" i="27"/>
  <c r="D106" i="27"/>
  <c r="D105" i="27"/>
  <c r="D104" i="27"/>
  <c r="D103" i="27"/>
  <c r="D102" i="27"/>
  <c r="D101" i="27"/>
  <c r="D100" i="27"/>
  <c r="D99" i="27"/>
  <c r="D98" i="27"/>
  <c r="D97" i="27"/>
  <c r="D96" i="27"/>
  <c r="D95" i="27"/>
  <c r="D94" i="27"/>
  <c r="D93" i="27"/>
  <c r="D92" i="27"/>
  <c r="D91" i="27"/>
  <c r="D90" i="27"/>
  <c r="D89" i="27"/>
  <c r="D88" i="27"/>
  <c r="D87" i="27"/>
  <c r="D86" i="27"/>
  <c r="D85" i="27"/>
  <c r="D84" i="27"/>
  <c r="D83" i="27"/>
  <c r="D82" i="27"/>
  <c r="D81" i="27"/>
  <c r="D80" i="27"/>
  <c r="D79" i="27"/>
  <c r="D78" i="27"/>
  <c r="D77" i="27"/>
  <c r="D76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115" i="26" l="1"/>
  <c r="D114" i="26"/>
  <c r="D113" i="26"/>
  <c r="D112" i="26"/>
  <c r="D111" i="26"/>
  <c r="D110" i="26"/>
  <c r="D109" i="26"/>
  <c r="D108" i="26"/>
  <c r="D107" i="26"/>
  <c r="D106" i="26"/>
  <c r="D105" i="26"/>
  <c r="D104" i="26"/>
  <c r="D103" i="26"/>
  <c r="D102" i="26"/>
  <c r="D101" i="26"/>
  <c r="D100" i="26"/>
  <c r="D99" i="26"/>
  <c r="D98" i="26"/>
  <c r="D97" i="26"/>
  <c r="D96" i="26"/>
  <c r="D95" i="26"/>
  <c r="D94" i="26"/>
  <c r="D93" i="26"/>
  <c r="D92" i="26"/>
  <c r="D91" i="26"/>
  <c r="D90" i="26"/>
  <c r="D89" i="26"/>
  <c r="D88" i="26"/>
  <c r="D87" i="26"/>
  <c r="D86" i="26"/>
  <c r="D85" i="26"/>
  <c r="D84" i="26"/>
  <c r="D83" i="26"/>
  <c r="D82" i="26"/>
  <c r="D81" i="26"/>
  <c r="D80" i="26"/>
  <c r="D79" i="26"/>
  <c r="D78" i="26"/>
  <c r="D77" i="26"/>
  <c r="D76" i="26"/>
  <c r="D75" i="26"/>
  <c r="D74" i="26"/>
  <c r="D73" i="26"/>
  <c r="D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114" i="25" l="1"/>
  <c r="D113" i="25"/>
  <c r="D112" i="25"/>
  <c r="D111" i="25"/>
  <c r="D110" i="25"/>
  <c r="D109" i="25"/>
  <c r="D108" i="25"/>
  <c r="D107" i="25"/>
  <c r="D106" i="25"/>
  <c r="D105" i="25"/>
  <c r="D104" i="25"/>
  <c r="D103" i="25"/>
  <c r="D102" i="25"/>
  <c r="D101" i="25"/>
  <c r="D100" i="25"/>
  <c r="D99" i="25"/>
  <c r="D98" i="25"/>
  <c r="D97" i="25"/>
  <c r="D96" i="25"/>
  <c r="D95" i="25"/>
  <c r="D94" i="25"/>
  <c r="D93" i="25"/>
  <c r="D92" i="25"/>
  <c r="D91" i="25"/>
  <c r="D90" i="25"/>
  <c r="D89" i="25"/>
  <c r="D88" i="25"/>
  <c r="D87" i="25"/>
  <c r="D86" i="25"/>
  <c r="D85" i="25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113" i="24" l="1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112" i="22" l="1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110" i="21" l="1"/>
  <c r="D111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109" i="19" l="1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109" i="20"/>
  <c r="D110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108" i="18" l="1"/>
  <c r="D107" i="18"/>
  <c r="D106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107" i="17" l="1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106" i="16" l="1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92" i="15" l="1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104" i="13" l="1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4" i="12" l="1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102" i="11" l="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101" i="10" l="1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6" i="9" l="1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25" i="9"/>
  <c r="D24" i="9"/>
  <c r="K85" i="7" l="1"/>
  <c r="K75" i="8"/>
  <c r="D32" i="8" l="1"/>
  <c r="D24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1" i="8"/>
  <c r="D30" i="8"/>
  <c r="D29" i="8"/>
  <c r="D28" i="8"/>
  <c r="D27" i="8"/>
  <c r="D26" i="8"/>
  <c r="D25" i="8"/>
  <c r="AG88" i="6"/>
  <c r="AE88" i="6"/>
  <c r="AE89" i="6"/>
  <c r="AE90" i="6"/>
  <c r="AE91" i="6"/>
  <c r="AE92" i="6"/>
  <c r="AE93" i="6"/>
  <c r="AG97" i="6"/>
  <c r="AE94" i="6"/>
  <c r="AE95" i="6"/>
  <c r="AE96" i="6"/>
  <c r="AE97" i="6"/>
  <c r="AD94" i="6"/>
  <c r="AD95" i="6"/>
  <c r="AD96" i="6"/>
  <c r="AD97" i="6"/>
  <c r="AD93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25" i="6"/>
  <c r="D24" i="6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4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25" i="2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24" i="1"/>
</calcChain>
</file>

<file path=xl/sharedStrings.xml><?xml version="1.0" encoding="utf-8"?>
<sst xmlns="http://schemas.openxmlformats.org/spreadsheetml/2006/main" count="2740" uniqueCount="493">
  <si>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</si>
  <si>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</si>
  <si>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</si>
  <si>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</si>
  <si>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</si>
  <si>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</si>
  <si>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PCEPI</t>
  </si>
  <si>
    <t>Personal Consumption Expenditures: Chain-type Price Index, Index 2017=100, Monthly, Seasonally Adjusted</t>
  </si>
  <si>
    <t>Frequency: Monthly</t>
  </si>
  <si>
    <t>observation_date</t>
  </si>
  <si>
    <r>
      <t xml:space="preserve"> The data filename is C:\Users\aphoe\OneDrive\</t>
    </r>
    <r>
      <rPr>
        <sz val="10"/>
        <rFont val="細明體"/>
        <family val="3"/>
        <charset val="136"/>
      </rPr>
      <t>桌面</t>
    </r>
    <r>
      <rPr>
        <sz val="10"/>
        <rFont val="Arial"/>
        <family val="2"/>
      </rPr>
      <t>\</t>
    </r>
    <r>
      <rPr>
        <sz val="10"/>
        <rFont val="細明體"/>
        <family val="3"/>
        <charset val="136"/>
      </rPr>
      <t>新增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文字文件</t>
    </r>
    <r>
      <rPr>
        <sz val="10"/>
        <rFont val="Arial"/>
        <family val="2"/>
      </rPr>
      <t>.txt,</t>
    </r>
  </si>
  <si>
    <t xml:space="preserve"> there are 72 data and getting the several lines.</t>
  </si>
  <si>
    <t xml:space="preserve"> The input data analysis uisng simple linear model based on combined model,</t>
  </si>
  <si>
    <t xml:space="preserve"> each line is the best model</t>
  </si>
  <si>
    <t xml:space="preserve"> and the proedure is from first data to last data.</t>
  </si>
  <si>
    <t xml:space="preserve"> Each line data number must equal to or more 5.</t>
  </si>
  <si>
    <t xml:space="preserve"> The last line R2 - the front line R2 more than 0.000000, the new line will be used.</t>
  </si>
  <si>
    <t xml:space="preserve"> line 1, 1.000000&lt;=X&lt;=5.000000,</t>
  </si>
  <si>
    <t xml:space="preserve"> sorting order= 1 ~ 5, data number=5,</t>
  </si>
  <si>
    <t xml:space="preserve"> The estimated line Y=1.613436+0.122613*X, R2=0.961286,</t>
  </si>
  <si>
    <t xml:space="preserve"> SST=0.156395, SSR=0.150341, SSE=0.006055,</t>
  </si>
  <si>
    <t xml:space="preserve"> MSE=0.002018, estimated sigma=0.044925,</t>
  </si>
  <si>
    <t xml:space="preserve"> line 2, 6.000000&lt;=X&lt;=12.000000,</t>
  </si>
  <si>
    <t xml:space="preserve"> sorting order= 6 ~ 12, data number=7,</t>
  </si>
  <si>
    <t xml:space="preserve"> The estimated line Y=2.779008+-0.076128*X, R2=0.890945,</t>
  </si>
  <si>
    <t xml:space="preserve"> SST=0.182138, SSR=0.162275, SSE=0.019863,</t>
  </si>
  <si>
    <t xml:space="preserve"> MSE=0.003973, estimated sigma=0.063029,</t>
  </si>
  <si>
    <t xml:space="preserve"> line 3, 13.000000&lt;=X&lt;=23.000000,</t>
  </si>
  <si>
    <t xml:space="preserve"> sorting order= 13 ~ 23, data number=11,</t>
  </si>
  <si>
    <t xml:space="preserve"> The estimated line Y=1.778738+-0.019491*X, R2=0.608507,</t>
  </si>
  <si>
    <t xml:space="preserve"> SST=0.068678, SSR=0.041791, SSE=0.026887,</t>
  </si>
  <si>
    <t xml:space="preserve"> MSE=0.002987, estimated sigma=0.054657,</t>
  </si>
  <si>
    <t xml:space="preserve"> line 4, 24.000000&lt;=X&lt;=29.000000,</t>
  </si>
  <si>
    <t xml:space="preserve"> sorting order= 24 ~ 29, data number=6,</t>
  </si>
  <si>
    <t xml:space="preserve"> The estimated line Y=8.574751+-0.280267*X, R2=0.793777,</t>
  </si>
  <si>
    <t xml:space="preserve"> SST=1.731743, SSR=1.374617, SSE=0.357126,</t>
  </si>
  <si>
    <t xml:space="preserve"> MSE=0.089281, estimated sigma=0.298800,</t>
  </si>
  <si>
    <t xml:space="preserve"> line 5, 30.000000&lt;=X&lt;=34.000000,</t>
  </si>
  <si>
    <t xml:space="preserve"> sorting order= 30 ~ 34, data number=5,</t>
  </si>
  <si>
    <t xml:space="preserve"> The estimated line Y=-2.726145+0.117300*X, R2=0.704272,</t>
  </si>
  <si>
    <t xml:space="preserve"> SST=0.195368, SSR=0.137592, SSE=0.057776,</t>
  </si>
  <si>
    <t xml:space="preserve"> MSE=0.019259, estimated sigma=0.138775,</t>
  </si>
  <si>
    <t xml:space="preserve"> line 6, 35.000000&lt;=X&lt;=39.000000,</t>
  </si>
  <si>
    <t xml:space="preserve"> sorting order= 35 ~ 39, data number=5,</t>
  </si>
  <si>
    <t xml:space="preserve"> The estimated line Y=-11.710191+0.363700*X, R2=0.902118,</t>
  </si>
  <si>
    <t xml:space="preserve"> SST=1.466304, SSR=1.322779, SSE=0.143525,</t>
  </si>
  <si>
    <t xml:space="preserve"> MSE=0.047842, estimated sigma=0.218728,</t>
  </si>
  <si>
    <t xml:space="preserve"> line 7, 40.000000&lt;=X&lt;=45.000000,</t>
  </si>
  <si>
    <t xml:space="preserve"> sorting order= 40 ~ 45, data number=6,</t>
  </si>
  <si>
    <t xml:space="preserve"> The estimated line Y=-4.167741+0.200950*X, R2=0.936839,</t>
  </si>
  <si>
    <t xml:space="preserve"> SST=0.754308, SSR=0.706665, SSE=0.047643,</t>
  </si>
  <si>
    <t xml:space="preserve"> MSE=0.011911, estimated sigma=0.109136,</t>
  </si>
  <si>
    <t xml:space="preserve"> line 8, 46.000000&lt;=X&lt;=51.000000,</t>
  </si>
  <si>
    <t xml:space="preserve"> sorting order= 46 ~ 51, data number=6,</t>
  </si>
  <si>
    <t xml:space="preserve"> The estimated line Y=-6.571806+0.263715*X, R2=0.948495,</t>
  </si>
  <si>
    <t xml:space="preserve"> SST=1.283134, SSR=1.217045, SSE=0.066088,</t>
  </si>
  <si>
    <t xml:space="preserve"> MSE=0.016522, estimated sigma=0.128538,</t>
  </si>
  <si>
    <t xml:space="preserve"> line 9, 52.000000&lt;=X&lt;=72.000000,</t>
  </si>
  <si>
    <t xml:space="preserve"> sorting order= 52 ~ 72, data number=21,</t>
  </si>
  <si>
    <t xml:space="preserve"> The estimated line Y=20.163307+-0.246298*X, R2=0.953393,</t>
  </si>
  <si>
    <t xml:space="preserve"> SST=48.993574, SSR=46.710107, SSE=2.283467,</t>
  </si>
  <si>
    <t xml:space="preserve"> MSE=0.120182, estimated sigma=0.346673,</t>
  </si>
  <si>
    <t xml:space="preserve"> there are 73 data and getting the several lines.</t>
  </si>
  <si>
    <t xml:space="preserve"> line 9, 52.000000&lt;=X&lt;=73.000000,</t>
  </si>
  <si>
    <t xml:space="preserve"> sorting order= 52 ~ 73, data number=22,</t>
  </si>
  <si>
    <t xml:space="preserve"> The estimated line Y=19.945317+-0.242565*X, R2=0.957311,</t>
  </si>
  <si>
    <t xml:space="preserve"> SST=54.424177, SSR=52.100873, SSE=2.323303,</t>
  </si>
  <si>
    <t xml:space="preserve"> MSE=0.116165, estimated sigma=0.340830,</t>
  </si>
  <si>
    <t xml:space="preserve"> Each line data number must equal to or more 6.</t>
  </si>
  <si>
    <t xml:space="preserve"> line 1, 1.000000&lt;=X&lt;=6.000000,</t>
  </si>
  <si>
    <t xml:space="preserve"> sorting order= 1 ~ 6, data number=6,</t>
  </si>
  <si>
    <t xml:space="preserve"> The estimated line Y=101.049133+0.170486*X, R2=0.986305,</t>
  </si>
  <si>
    <t xml:space="preserve"> SST=0.515707, SSR=0.508644, SSE=0.007063,</t>
  </si>
  <si>
    <t xml:space="preserve"> MSE=0.001766, estimated sigma=0.042020,</t>
  </si>
  <si>
    <t xml:space="preserve"> line 2, 7.000000&lt;=X&lt;=12.000000,</t>
  </si>
  <si>
    <t xml:space="preserve"> sorting order= 7 ~ 12, data number=6,</t>
  </si>
  <si>
    <t xml:space="preserve"> The estimated line Y=101.291067+0.121800*X, R2=0.947635,</t>
  </si>
  <si>
    <t xml:space="preserve"> SST=0.273963, SSR=0.259617, SSE=0.014346,</t>
  </si>
  <si>
    <t xml:space="preserve"> MSE=0.003587, estimated sigma=0.059888,</t>
  </si>
  <si>
    <t xml:space="preserve"> line 3, 13.000000&lt;=X&lt;=19.000000,</t>
  </si>
  <si>
    <t xml:space="preserve"> sorting order= 13 ~ 19, data number=7,</t>
  </si>
  <si>
    <t xml:space="preserve"> The estimated line Y=100.777429+0.152357*X, R2=0.943725,</t>
  </si>
  <si>
    <t xml:space="preserve"> SST=0.688713, SSR=0.649956, SSE=0.038757,</t>
  </si>
  <si>
    <t xml:space="preserve"> MSE=0.007751, estimated sigma=0.088042,</t>
  </si>
  <si>
    <t xml:space="preserve"> line 4, 20.000000&lt;=X&lt;=26.000000,</t>
  </si>
  <si>
    <t xml:space="preserve"> sorting order= 20 ~ 26, data number=7,</t>
  </si>
  <si>
    <t xml:space="preserve"> The estimated line Y=100.481393+0.157107*X, R2=0.977709,</t>
  </si>
  <si>
    <t xml:space="preserve"> SST=0.706871, SSR=0.691114, SSE=0.015757,</t>
  </si>
  <si>
    <t xml:space="preserve"> MSE=0.003151, estimated sigma=0.056137,</t>
  </si>
  <si>
    <t xml:space="preserve"> line 5, 27.000000&lt;=X&lt;=39.000000,</t>
  </si>
  <si>
    <t xml:space="preserve"> sorting order= 27 ~ 39, data number=13,</t>
  </si>
  <si>
    <t xml:space="preserve"> The estimated line Y=96.815335+0.251148*X, R2=0.922403,</t>
  </si>
  <si>
    <t xml:space="preserve"> SST=12.445470, SSR=11.479740, SSE=0.965730,</t>
  </si>
  <si>
    <t xml:space="preserve"> MSE=0.087794, estimated sigma=0.296300,</t>
  </si>
  <si>
    <t xml:space="preserve"> line 6, 40.000000&lt;=X&lt;=46.000000,</t>
  </si>
  <si>
    <t xml:space="preserve"> sorting order= 40 ~ 46, data number=7,</t>
  </si>
  <si>
    <t xml:space="preserve"> The estimated line Y=87.412464+0.507179*X, R2=0.995793,</t>
  </si>
  <si>
    <t xml:space="preserve"> SST=7.232869, SSR=7.202443, SSE=0.030426,</t>
  </si>
  <si>
    <t xml:space="preserve"> MSE=0.006085, estimated sigma=0.078008,</t>
  </si>
  <si>
    <t xml:space="preserve"> line 7, 47.000000&lt;=X&lt;=53.000000,</t>
  </si>
  <si>
    <t xml:space="preserve"> sorting order= 47 ~ 53, data number=7,</t>
  </si>
  <si>
    <t xml:space="preserve"> The estimated line Y=80.371786+0.663250*X, R2=0.993563,</t>
  </si>
  <si>
    <t xml:space="preserve"> SST=12.397017, SSR=12.317216, SSE=0.079802,</t>
  </si>
  <si>
    <t xml:space="preserve"> MSE=0.015960, estimated sigma=0.126334,</t>
  </si>
  <si>
    <t xml:space="preserve"> line 8, 54.000000&lt;=X&lt;=64.000000,</t>
  </si>
  <si>
    <t xml:space="preserve"> sorting order= 54 ~ 64, data number=11,</t>
  </si>
  <si>
    <t xml:space="preserve"> The estimated line Y=96.422309+0.367764*X, R2=0.988550,</t>
  </si>
  <si>
    <t xml:space="preserve"> SST=15.049831, SSR=14.877510, SSE=0.172320,</t>
  </si>
  <si>
    <t xml:space="preserve"> MSE=0.019147, estimated sigma=0.138372,</t>
  </si>
  <si>
    <t xml:space="preserve"> sorting order= 31 ~ 38, data number=8,</t>
  </si>
  <si>
    <t xml:space="preserve"> sorting order= 39 ~ 43, data number=5,</t>
  </si>
  <si>
    <t xml:space="preserve"> there are 71 data and getting the several lines.</t>
  </si>
  <si>
    <t xml:space="preserve"> line 9, 52.000000&lt;=X&lt;=71.000000,</t>
  </si>
  <si>
    <t xml:space="preserve"> sorting order= 52 ~ 71, data number=20,</t>
  </si>
  <si>
    <t xml:space="preserve"> The estimated line Y=20.307789+-0.248773*X, R2=0.948154,</t>
  </si>
  <si>
    <t xml:space="preserve"> SST=43.405841, SSR=41.155430, SSE=2.250412,</t>
  </si>
  <si>
    <t xml:space="preserve"> MSE=0.125023, estimated sigma=0.353586,</t>
  </si>
  <si>
    <t xml:space="preserve"> there are 70 data and getting the several lines.</t>
  </si>
  <si>
    <t xml:space="preserve"> line 9, 52.000000&lt;=X&lt;=70.000000,</t>
  </si>
  <si>
    <t xml:space="preserve"> sorting order= 52 ~ 70, data number=19,</t>
  </si>
  <si>
    <t xml:space="preserve"> The estimated line Y=20.127396+-0.245610*X, R2=0.938780,</t>
  </si>
  <si>
    <t xml:space="preserve"> SST=36.627190, SSR=34.384885, SSE=2.242305,</t>
  </si>
  <si>
    <t xml:space="preserve"> MSE=0.131900, estimated sigma=0.363181,</t>
  </si>
  <si>
    <t xml:space="preserve"> there are 74 data and getting the several lines.</t>
  </si>
  <si>
    <t xml:space="preserve"> line 9, 52.000000&lt;=X&lt;=74.000000,</t>
  </si>
  <si>
    <t xml:space="preserve"> sorting order= 52 ~ 74, data number=23,</t>
  </si>
  <si>
    <t xml:space="preserve"> The estimated line Y=19.644642+-0.237471*X, R2=0.957939,</t>
  </si>
  <si>
    <t xml:space="preserve"> SST=59.575106, SSR=57.069344, SSE=2.505762,</t>
  </si>
  <si>
    <t xml:space="preserve"> MSE=0.119322, estimated sigma=0.345430,</t>
  </si>
  <si>
    <t xml:space="preserve"> line 9, 65.000000&lt;=X&lt;=74.000000,</t>
  </si>
  <si>
    <t xml:space="preserve"> sorting order= 65 ~ 74, data number=10,</t>
  </si>
  <si>
    <t xml:space="preserve"> The estimated line Y=104.533861+0.238297*X, R2=0.955059,</t>
  </si>
  <si>
    <t xml:space="preserve"> SST=4.905246, SSR=4.684799, SSE=0.220447,</t>
  </si>
  <si>
    <t xml:space="preserve"> MSE=0.027556, estimated sigma=0.166000,</t>
  </si>
  <si>
    <t xml:space="preserve"> there are 75 data and getting the several lines.</t>
  </si>
  <si>
    <r>
      <t xml:space="preserve"> The estimated line </t>
    </r>
    <r>
      <rPr>
        <sz val="10"/>
        <color indexed="10"/>
        <rFont val="Arial"/>
        <family val="2"/>
      </rPr>
      <t>Y=1.613436+0.122613*X</t>
    </r>
    <r>
      <rPr>
        <sz val="10"/>
        <rFont val="Arial"/>
        <family val="2"/>
      </rPr>
      <t>, R2=0.961286,</t>
    </r>
  </si>
  <si>
    <r>
      <t xml:space="preserve"> The estimated line </t>
    </r>
    <r>
      <rPr>
        <sz val="10"/>
        <color indexed="10"/>
        <rFont val="Arial"/>
        <family val="2"/>
      </rPr>
      <t>Y=2.779008+-0.076128*X</t>
    </r>
    <r>
      <rPr>
        <sz val="10"/>
        <rFont val="Arial"/>
        <family val="2"/>
      </rPr>
      <t>, R2=0.890945,</t>
    </r>
  </si>
  <si>
    <r>
      <t xml:space="preserve"> The estimated line </t>
    </r>
    <r>
      <rPr>
        <sz val="10"/>
        <color indexed="10"/>
        <rFont val="Arial"/>
        <family val="2"/>
      </rPr>
      <t>Y=1.778738+-0.019491*X</t>
    </r>
    <r>
      <rPr>
        <sz val="10"/>
        <rFont val="Arial"/>
        <family val="2"/>
      </rPr>
      <t>, R2=0.608507,</t>
    </r>
  </si>
  <si>
    <r>
      <t xml:space="preserve"> The estimated line </t>
    </r>
    <r>
      <rPr>
        <sz val="10"/>
        <color indexed="10"/>
        <rFont val="Arial"/>
        <family val="2"/>
      </rPr>
      <t>Y=8.574751+-0.280267*X</t>
    </r>
    <r>
      <rPr>
        <sz val="10"/>
        <rFont val="Arial"/>
        <family val="2"/>
      </rPr>
      <t>, R2=0.793777,</t>
    </r>
  </si>
  <si>
    <t xml:space="preserve"> line 9, 52.000000&lt;=X&lt;=75.000000,</t>
  </si>
  <si>
    <t xml:space="preserve"> sorting order= 52 ~ 75, data number=24,</t>
  </si>
  <si>
    <r>
      <t xml:space="preserve"> The estimated line </t>
    </r>
    <r>
      <rPr>
        <sz val="10"/>
        <color indexed="10"/>
        <rFont val="Arial"/>
        <family val="2"/>
      </rPr>
      <t>Y=19.074518+-0.227854*X</t>
    </r>
    <r>
      <rPr>
        <sz val="10"/>
        <rFont val="Arial"/>
        <family val="2"/>
      </rPr>
      <t>, R2=0.949398,</t>
    </r>
  </si>
  <si>
    <t xml:space="preserve"> SST=62.887031, SSR=59.704843, SSE=3.182189,</t>
  </si>
  <si>
    <t xml:space="preserve"> MSE=0.144645, estimated sigma=0.380322,</t>
  </si>
  <si>
    <r>
      <t xml:space="preserve"> The data filename is C:\Users\aphoe\OneDrive\</t>
    </r>
    <r>
      <rPr>
        <sz val="10"/>
        <rFont val="細明體"/>
        <family val="3"/>
        <charset val="136"/>
      </rPr>
      <t>桌面</t>
    </r>
    <r>
      <rPr>
        <sz val="10"/>
        <rFont val="Arial"/>
        <family val="2"/>
      </rPr>
      <t>\111.txt,</t>
    </r>
  </si>
  <si>
    <t xml:space="preserve"> there are 76 data and getting the several lines.</t>
  </si>
  <si>
    <t xml:space="preserve"> Each line data number must equal to or more 10.</t>
  </si>
  <si>
    <t xml:space="preserve"> line 1, 1.000000&lt;=X&lt;=10.000000,</t>
  </si>
  <si>
    <t xml:space="preserve"> sorting order= 1 ~ 10, data number=10,</t>
  </si>
  <si>
    <t xml:space="preserve"> The estimated line Y=1.887206+0.034268*X, R2=0.299938,</t>
  </si>
  <si>
    <t xml:space="preserve"> SST=0.322989, SSR=0.096877, SSE=0.226112,</t>
  </si>
  <si>
    <t xml:space="preserve"> MSE=0.028264, estimated sigma=0.168119,</t>
  </si>
  <si>
    <t xml:space="preserve"> line 2, 11.000000&lt;=X&lt;=23.000000,</t>
  </si>
  <si>
    <t xml:space="preserve"> sorting order= 11 ~ 23, data number=13,</t>
  </si>
  <si>
    <t xml:space="preserve"> The estimated line Y=2.193366+-0.040726*X, R2=0.664704,</t>
  </si>
  <si>
    <t xml:space="preserve"> SST=0.454128, SSR=0.301861, SSE=0.152267,</t>
  </si>
  <si>
    <t xml:space="preserve"> MSE=0.013842, estimated sigma=0.117654,</t>
  </si>
  <si>
    <t xml:space="preserve"> line 3, 24.000000&lt;=X&lt;=33.000000,</t>
  </si>
  <si>
    <t xml:space="preserve"> sorting order= 24 ~ 33, data number=10,</t>
  </si>
  <si>
    <t xml:space="preserve"> The estimated line Y=3.051346+-0.068803*X, R2=0.198667,</t>
  </si>
  <si>
    <t xml:space="preserve"> SST=1.965810, SSR=0.390542, SSE=1.575267,</t>
  </si>
  <si>
    <t xml:space="preserve"> MSE=0.196908, estimated sigma=0.443744,</t>
  </si>
  <si>
    <t xml:space="preserve"> line 4, 34.000000&lt;=X&lt;=44.000000,</t>
  </si>
  <si>
    <t xml:space="preserve"> sorting order= 34 ~ 44, data number=11,</t>
  </si>
  <si>
    <t xml:space="preserve"> The estimated line Y=-13.850149+0.428052*X, R2=0.942245,</t>
  </si>
  <si>
    <t xml:space="preserve"> SST=21.390541, SSR=20.155131, SSE=1.235410,</t>
  </si>
  <si>
    <t xml:space="preserve"> MSE=0.137268, estimated sigma=0.370497,</t>
  </si>
  <si>
    <t xml:space="preserve"> line 5, 45.000000&lt;=X&lt;=54.000000,</t>
  </si>
  <si>
    <t xml:space="preserve"> sorting order= 45 ~ 54, data number=10,</t>
  </si>
  <si>
    <t xml:space="preserve"> The estimated line Y=-4.348315+0.214193*X, R2=0.849104,</t>
  </si>
  <si>
    <t xml:space="preserve"> SST=4.457614, SSR=3.784977, SSE=0.672637,</t>
  </si>
  <si>
    <t xml:space="preserve"> MSE=0.084080, estimated sigma=0.289965,</t>
  </si>
  <si>
    <t xml:space="preserve"> line 6, 55.000000&lt;=X&lt;=65.000000,</t>
  </si>
  <si>
    <t xml:space="preserve"> sorting order= 55 ~ 65, data number=11,</t>
  </si>
  <si>
    <t xml:space="preserve"> The estimated line Y=22.261355+-0.278710*X, R2=0.952121,</t>
  </si>
  <si>
    <t xml:space="preserve"> SST=8.974412, SSR=8.544724, SSE=0.429688,</t>
  </si>
  <si>
    <t xml:space="preserve"> MSE=0.047743, estimated sigma=0.218502,</t>
  </si>
  <si>
    <t xml:space="preserve"> line 7, 66.000000&lt;=X&lt;=76.000000,</t>
  </si>
  <si>
    <t xml:space="preserve"> sorting order= 66 ~ 76, data number=11,</t>
  </si>
  <si>
    <t xml:space="preserve"> The estimated line Y=9.290316+-0.090147*X, R2=0.702554,</t>
  </si>
  <si>
    <t xml:space="preserve"> SST=1.272375, SSR=0.893912, SSE=0.378463,</t>
  </si>
  <si>
    <t xml:space="preserve"> MSE=0.042051, estimated sigma=0.205064,</t>
  </si>
  <si>
    <t>ANOVA</t>
  </si>
  <si>
    <t xml:space="preserve"> H0:X and Y are uncorrelated, H1:against H0,  F=95.258414,</t>
  </si>
  <si>
    <t>Source</t>
  </si>
  <si>
    <t>df</t>
  </si>
  <si>
    <t>SS</t>
  </si>
  <si>
    <t>MS</t>
  </si>
  <si>
    <t>Regression</t>
  </si>
  <si>
    <t>Error</t>
  </si>
  <si>
    <t>Total</t>
  </si>
  <si>
    <t xml:space="preserve"> H0:X and Y are uncorrelated, H1:against H0,  F=85.438251,</t>
  </si>
  <si>
    <t xml:space="preserve"> there are 77 data and getting the several lines.</t>
  </si>
  <si>
    <t xml:space="preserve"> line 7, 66.000000&lt;=X&lt;=77.000000,</t>
  </si>
  <si>
    <t xml:space="preserve"> sorting order= 66 ~ 77, data number=12,</t>
  </si>
  <si>
    <t xml:space="preserve"> The estimated line Y=8.598934+-0.080127*X, R2=0.695009,</t>
  </si>
  <si>
    <t xml:space="preserve"> SST=1.321016, SSR=0.918119, SSE=0.402898,</t>
  </si>
  <si>
    <t xml:space="preserve"> MSE=0.040290, estimated sigma=0.200723,</t>
  </si>
  <si>
    <t xml:space="preserve">  Source          df                      SS                        MS</t>
  </si>
  <si>
    <t xml:space="preserve">  Total           76                  289.2336823268</t>
  </si>
  <si>
    <t xml:space="preserve">  Regression      13                   87.9070880445                 6.7620836957</t>
  </si>
  <si>
    <t xml:space="preserve">  Error           63                    4.6942786368                 0.0745123593</t>
  </si>
  <si>
    <t xml:space="preserve"> H0:X and Y are uncorrelated, H1:against H0,  F=90.751169,</t>
  </si>
  <si>
    <t xml:space="preserve"> there are 78 data and getting the several lines.</t>
  </si>
  <si>
    <t xml:space="preserve"> line 7, 66.000000&lt;=X&lt;=78.000000,</t>
  </si>
  <si>
    <t xml:space="preserve"> sorting order= 66 ~ 78, data number=13,</t>
  </si>
  <si>
    <t xml:space="preserve"> The estimated line Y=8.137672+-0.073498*X, R2=0.694529,</t>
  </si>
  <si>
    <t xml:space="preserve"> SST=1.415569, SSR=0.983153, SSE=0.432416,</t>
  </si>
  <si>
    <t xml:space="preserve"> MSE=0.039311, estimated sigma=0.198269,</t>
  </si>
  <si>
    <t xml:space="preserve"> there are 79 data and getting the several lines.</t>
  </si>
  <si>
    <t xml:space="preserve"> The estimated line Y=19.585905+-0.236472*X, R2=0.956779,</t>
  </si>
  <si>
    <t xml:space="preserve"> SST=59.146603, SSR=56.590228, SSE=2.556375,</t>
  </si>
  <si>
    <t xml:space="preserve"> MSE=0.121732, estimated sigma=0.348901,</t>
  </si>
  <si>
    <t xml:space="preserve"> line 10, 75.000000&lt;=X&lt;=79.000000,</t>
  </si>
  <si>
    <t xml:space="preserve"> sorting order= 75 ~ 79, data number=5,</t>
  </si>
  <si>
    <t xml:space="preserve"> The estimated line Y=7.660030+-0.065876*X, R2=0.890635,</t>
  </si>
  <si>
    <t xml:space="preserve"> SST=0.048726, SSR=0.043397, SSE=0.005329,</t>
  </si>
  <si>
    <t xml:space="preserve"> MSE=0.001776, estimated sigma=0.042146,</t>
  </si>
  <si>
    <t xml:space="preserve"> there are 80 data and getting the several lines.</t>
  </si>
  <si>
    <t xml:space="preserve"> line 3, 13.000000&lt;=X&lt;=17.000000,</t>
  </si>
  <si>
    <t xml:space="preserve"> sorting order= 13 ~ 17, data number=5,</t>
  </si>
  <si>
    <t xml:space="preserve"> The estimated line Y=1.126730+0.023361*X, R2=0.302132,</t>
  </si>
  <si>
    <t xml:space="preserve"> SST=0.018062, SSR=0.005457, SSE=0.012605,</t>
  </si>
  <si>
    <t xml:space="preserve"> MSE=0.004202, estimated sigma=0.064821,</t>
  </si>
  <si>
    <t xml:space="preserve"> line 4, 18.000000&lt;=X&lt;=22.000000,</t>
  </si>
  <si>
    <t xml:space="preserve"> sorting order= 18 ~ 22, data number=5,</t>
  </si>
  <si>
    <t xml:space="preserve"> The estimated line Y=2.266550+-0.044498*X, R2=0.715949,</t>
  </si>
  <si>
    <t xml:space="preserve"> SST=0.027657, SSR=0.019801, SSE=0.007856,</t>
  </si>
  <si>
    <t xml:space="preserve"> MSE=0.002619, estimated sigma=0.051173,</t>
  </si>
  <si>
    <t xml:space="preserve"> line 5, 23.000000&lt;=X&lt;=30.000000,</t>
  </si>
  <si>
    <t xml:space="preserve"> sorting order= 23 ~ 30, data number=8,</t>
  </si>
  <si>
    <t xml:space="preserve"> The estimated line Y=5.648002+-0.170292*X, R2=0.622546,</t>
  </si>
  <si>
    <t xml:space="preserve"> SST=1.956439, SSR=1.217972, SSE=0.738467,</t>
  </si>
  <si>
    <t xml:space="preserve"> MSE=0.123078, estimated sigma=0.350824,</t>
  </si>
  <si>
    <t xml:space="preserve"> line 6, 31.000000&lt;=X&lt;=38.000000,</t>
  </si>
  <si>
    <t xml:space="preserve"> The estimated line Y=-2.332670+0.105342*X, R2=0.776187,</t>
  </si>
  <si>
    <t xml:space="preserve"> SST=0.600466, SSR=0.466074, SSE=0.134392,</t>
  </si>
  <si>
    <t xml:space="preserve"> MSE=0.022399, estimated sigma=0.149662,</t>
  </si>
  <si>
    <t xml:space="preserve"> line 7, 39.000000&lt;=X&lt;=43.000000,</t>
  </si>
  <si>
    <t xml:space="preserve"> The estimated line Y=-13.913634+0.433442*X, R2=0.869982,</t>
  </si>
  <si>
    <t xml:space="preserve"> SST=2.159497, SSR=1.878724, SSE=0.280773,</t>
  </si>
  <si>
    <t xml:space="preserve"> MSE=0.093591, estimated sigma=0.305927,</t>
  </si>
  <si>
    <t xml:space="preserve"> line 8, 44.000000&lt;=X&lt;=48.000000,</t>
  </si>
  <si>
    <t xml:space="preserve"> sorting order= 44 ~ 48, data number=5,</t>
  </si>
  <si>
    <t xml:space="preserve"> The estimated line Y=-14.657935+0.435530*X, R2=0.962592,</t>
  </si>
  <si>
    <t xml:space="preserve"> SST=1.970577, SSR=1.896861, SSE=0.073716,</t>
  </si>
  <si>
    <t xml:space="preserve"> MSE=0.024572, estimated sigma=0.156754,</t>
  </si>
  <si>
    <t xml:space="preserve"> line 9, 49.000000&lt;=X&lt;=54.000000,</t>
  </si>
  <si>
    <t xml:space="preserve"> sorting order= 49 ~ 54, data number=6,</t>
  </si>
  <si>
    <t xml:space="preserve"> The estimated line Y=-0.679158+0.144642*X, R2=0.706768,</t>
  </si>
  <si>
    <t xml:space="preserve"> SST=0.518027, SSR=0.366125, SSE=0.151902,</t>
  </si>
  <si>
    <t xml:space="preserve"> MSE=0.037975, estimated sigma=0.194873,</t>
  </si>
  <si>
    <t xml:space="preserve"> line 10, 55.000000&lt;=X&lt;=62.000000,</t>
  </si>
  <si>
    <t xml:space="preserve"> sorting order= 55 ~ 62, data number=8,</t>
  </si>
  <si>
    <t xml:space="preserve"> The estimated line Y=20.240055+-0.241762*X, R2=0.927966,</t>
  </si>
  <si>
    <t xml:space="preserve"> SST=2.645417, SSR=2.454858, SSE=0.190559,</t>
  </si>
  <si>
    <t xml:space="preserve"> MSE=0.031760, estimated sigma=0.178213,</t>
  </si>
  <si>
    <t xml:space="preserve"> line 11, 63.000000&lt;=X&lt;=67.000000,</t>
  </si>
  <si>
    <t xml:space="preserve"> sorting order= 63 ~ 67, data number=5,</t>
  </si>
  <si>
    <t xml:space="preserve"> The estimated line Y=25.347090+-0.329953*X, R2=0.849967,</t>
  </si>
  <si>
    <t xml:space="preserve"> SST=1.280865, SSR=1.088693, SSE=0.192173,</t>
  </si>
  <si>
    <t xml:space="preserve"> MSE=0.064058, estimated sigma=0.253096,</t>
  </si>
  <si>
    <t xml:space="preserve"> line 12, 68.000000&lt;=X&lt;=72.000000,</t>
  </si>
  <si>
    <t xml:space="preserve"> sorting order= 68 ~ 72, data number=5,</t>
  </si>
  <si>
    <t xml:space="preserve"> The estimated line Y=17.637258+-0.208529*X, R2=0.881969,</t>
  </si>
  <si>
    <t xml:space="preserve"> SST=0.493036, SSR=0.434842, SSE=0.058194,</t>
  </si>
  <si>
    <t xml:space="preserve"> MSE=0.019398, estimated sigma=0.139276,</t>
  </si>
  <si>
    <t xml:space="preserve"> line 13, 73.000000&lt;=X&lt;=80.000000,</t>
  </si>
  <si>
    <t xml:space="preserve"> sorting order= 73 ~ 80, data number=8,</t>
  </si>
  <si>
    <t xml:space="preserve"> The estimated line Y=6.726190+-0.054548*X, R2=0.561045,</t>
  </si>
  <si>
    <t xml:space="preserve"> SST=0.222746, SSR=0.124970, SSE=0.097775,</t>
  </si>
  <si>
    <t xml:space="preserve"> MSE=0.016296, estimated sigma=0.127655,</t>
  </si>
  <si>
    <t xml:space="preserve"> there are 81 data and getting the several lines.</t>
  </si>
  <si>
    <t xml:space="preserve"> line 13, 73.000000&lt;=X&lt;=81.000000,</t>
  </si>
  <si>
    <t xml:space="preserve"> sorting order= 73 ~ 81, data number=9,</t>
  </si>
  <si>
    <t xml:space="preserve"> The estimated line Y=7.635792+-0.066601*X, R2=0.681292,</t>
  </si>
  <si>
    <t xml:space="preserve"> SST=0.390646, SSR=0.266144, SSE=0.124502,</t>
  </si>
  <si>
    <t xml:space="preserve"> MSE=0.017786, estimated sigma=0.133364,</t>
  </si>
  <si>
    <t xml:space="preserve"> there are 82 data and getting the several lines.</t>
  </si>
  <si>
    <t xml:space="preserve"> line 13, 73.000000&lt;=X&lt;=82.000000,</t>
  </si>
  <si>
    <t xml:space="preserve"> sorting order= 73 ~ 82, data number=10,</t>
  </si>
  <si>
    <t xml:space="preserve"> The estimated line Y=7.090158+-0.059398*X, R2=0.681429,</t>
  </si>
  <si>
    <t xml:space="preserve"> SST=0.427141, SSR=0.291066, SSE=0.136075,</t>
  </si>
  <si>
    <t xml:space="preserve"> MSE=0.017009, estimated sigma=0.130420,</t>
  </si>
  <si>
    <t xml:space="preserve"> there are 69 data and getting the several lines.</t>
  </si>
  <si>
    <t xml:space="preserve"> line 9, 52.000000&lt;=X&lt;=69.000000,</t>
  </si>
  <si>
    <t xml:space="preserve"> sorting order= 52 ~ 69, data number=18,</t>
  </si>
  <si>
    <t xml:space="preserve"> The estimated line Y=20.208677+-0.247020*X, R2=0.929688,</t>
  </si>
  <si>
    <t xml:space="preserve"> SST=31.799458, SSR=29.563571, SSE=2.235888,</t>
  </si>
  <si>
    <t xml:space="preserve"> MSE=0.139743, estimated sigma=0.373822,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</si>
  <si>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</si>
  <si>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</si>
  <si>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</si>
  <si>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</si>
  <si>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</si>
  <si>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</si>
  <si>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</si>
  <si>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</si>
  <si>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</si>
  <si>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</si>
  <si>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</si>
  <si>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</si>
  <si>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Federal Reserve Economic Data, Federal Reserve Bank of St. Louis</t>
  </si>
  <si>
    <t>This data may be copyrighted. Please refer to the Terms of Use: https://fred.stlouisfed.org/legal#fred-terms-faq</t>
  </si>
  <si>
    <t>File Created: 2024-12-22 1:59 am CST</t>
  </si>
  <si>
    <t>Data Updated: 2024-12-20</t>
  </si>
  <si>
    <t xml:space="preserve"> there are 83 data and getting the several lines.</t>
  </si>
  <si>
    <t xml:space="preserve"> line 13, 73.000000&lt;=X&lt;=83.000000,</t>
  </si>
  <si>
    <t xml:space="preserve"> sorting order= 73 ~ 83, data number=11,</t>
  </si>
  <si>
    <t xml:space="preserve"> SST=0.417695, SSR=0.233283, SSE=0.184412,</t>
  </si>
  <si>
    <t xml:space="preserve"> MSE=0.020490, estimated sigma=0.143144,</t>
  </si>
  <si>
    <t xml:space="preserve"> The estimated line Y=6.077582+-0.046052*X, R2=0.558500,</t>
    <phoneticPr fontId="2" type="noConversion"/>
  </si>
  <si>
    <t>File Created: 2025-02-01 8:57 pm CST</t>
  </si>
  <si>
    <t xml:space="preserve"> there are 84 data and getting the several lines.</t>
  </si>
  <si>
    <t xml:space="preserve"> line 13, 73.000000&lt;=X&lt;=84.000000,</t>
  </si>
  <si>
    <t xml:space="preserve"> sorting order= 73 ~ 84, data number=12,</t>
  </si>
  <si>
    <t xml:space="preserve"> The estimated line Y=5.043974+-0.032506*X, R2=0.361662,</t>
  </si>
  <si>
    <t xml:space="preserve"> SST=0.417797, SSR=0.151101, SSE=0.266696,</t>
  </si>
  <si>
    <t xml:space="preserve"> MSE=0.026670, estimated sigma=0.163308,</t>
  </si>
  <si>
    <t>File Created: 2025-03-07 10:26 pm CST</t>
  </si>
  <si>
    <t>Data Updated: 2025-02-28</t>
  </si>
  <si>
    <t xml:space="preserve"> there are 85 data and getting the several lines.</t>
  </si>
  <si>
    <t xml:space="preserve"> line 13, 73.000000&lt;=X&lt;=85.000000,</t>
  </si>
  <si>
    <t xml:space="preserve"> sorting order= 73 ~ 85, data number=13,</t>
  </si>
  <si>
    <t xml:space="preserve"> The estimated line Y=4.303107+-0.022814*X, R2=0.228014,</t>
  </si>
  <si>
    <t xml:space="preserve"> SST=0.415436, SSR=0.094725, SSE=0.320711,</t>
  </si>
  <si>
    <t xml:space="preserve"> MSE=0.029156, estimated sigma=0.170750,</t>
  </si>
  <si>
    <t>File Created: 2025-05-02 1:50 am CDT</t>
  </si>
  <si>
    <t>Data Updated: 2025-04-30</t>
  </si>
  <si>
    <t xml:space="preserve"> there are 87 data and getting the several lines.</t>
  </si>
  <si>
    <t xml:space="preserve"> The estimated line Y=7.547139+-0.065418*X, R2=0.677607,</t>
  </si>
  <si>
    <t xml:space="preserve"> SST=0.378935, SSR=0.256769, SSE=0.122166,</t>
  </si>
  <si>
    <t xml:space="preserve"> MSE=0.017452, estimated sigma=0.132107,</t>
  </si>
  <si>
    <t xml:space="preserve"> line 14, 82.000000&lt;=X&lt;=87.000000,</t>
  </si>
  <si>
    <t xml:space="preserve"> sorting order= 82 ~ 87, data number=6,</t>
  </si>
  <si>
    <t xml:space="preserve"> The estimated line Y=1.519676+0.011482*X, R2=0.019603,</t>
  </si>
  <si>
    <t xml:space="preserve"> SST=0.117697, SSR=0.002307, SSE=0.115390,</t>
  </si>
  <si>
    <t xml:space="preserve"> MSE=0.028848, estimated sigma=0.169846,</t>
  </si>
  <si>
    <t xml:space="preserve"> there are 86 data and getting the several lines.</t>
  </si>
  <si>
    <t xml:space="preserve"> line 14, 82.000000&lt;=X&lt;=86.000000,</t>
  </si>
  <si>
    <t xml:space="preserve"> sorting order= 82 ~ 86, data number=5,</t>
  </si>
  <si>
    <t xml:space="preserve"> The estimated line Y=-4.087665+0.078770*X, R2=0.864272,</t>
  </si>
  <si>
    <t xml:space="preserve"> SST=0.071792, SSR=0.062047, SSE=0.009744,</t>
  </si>
  <si>
    <t xml:space="preserve"> MSE=0.003248, estimated sigma=0.056992,</t>
  </si>
  <si>
    <t>File Created: 2025-06-01 7:19 am CDT</t>
  </si>
  <si>
    <t>Data Updated: 2025-05-30</t>
  </si>
  <si>
    <t xml:space="preserve"> there are 88 data and getting the several lines.</t>
  </si>
  <si>
    <t xml:space="preserve"> line 14, 82.000000&lt;=X&lt;=88.000000,</t>
  </si>
  <si>
    <t xml:space="preserve"> sorting order= 82 ~ 88, data number=7,</t>
  </si>
  <si>
    <t xml:space="preserve"> The estimated line Y=4.960771+-0.029700*X, R2=0.128086,</t>
  </si>
  <si>
    <t xml:space="preserve"> SST=0.192829, SSR=0.024699, SSE=0.168130,</t>
  </si>
  <si>
    <t xml:space="preserve"> MSE=0.033626, estimated sigma=0.183374,</t>
  </si>
  <si>
    <t xml:space="preserve"> The data filename is C:\Users\aphoe\OneDrive\桌面\PCE.txt,</t>
  </si>
  <si>
    <t xml:space="preserve"> there are 89 data and getting the several lines.</t>
  </si>
  <si>
    <r>
      <t xml:space="preserve"> The estimated line Y=7.547139+</t>
    </r>
    <r>
      <rPr>
        <b/>
        <sz val="11"/>
        <color rgb="FFFF0000"/>
        <rFont val="新細明體"/>
        <family val="1"/>
        <charset val="136"/>
        <scheme val="minor"/>
      </rPr>
      <t>-0.065418</t>
    </r>
    <r>
      <rPr>
        <sz val="10"/>
        <rFont val="Arial"/>
        <family val="2"/>
      </rPr>
      <t>*X, R2=0.677607,</t>
    </r>
    <phoneticPr fontId="9" type="noConversion"/>
  </si>
  <si>
    <t xml:space="preserve"> line 14, 82.000000&lt;=X&lt;=89.000000,</t>
  </si>
  <si>
    <t xml:space="preserve"> sorting order= 82 ~ 89, data number=8,</t>
  </si>
  <si>
    <r>
      <t xml:space="preserve"> The estimated line Y=4.458268+</t>
    </r>
    <r>
      <rPr>
        <b/>
        <sz val="11"/>
        <color rgb="FFFF0000"/>
        <rFont val="新細明體"/>
        <family val="1"/>
        <charset val="136"/>
        <scheme val="minor"/>
      </rPr>
      <t>-0.023608</t>
    </r>
    <r>
      <rPr>
        <sz val="10"/>
        <rFont val="Arial"/>
        <family val="2"/>
      </rPr>
      <t>*X, R2=0.126029,</t>
    </r>
    <phoneticPr fontId="9" type="noConversion"/>
  </si>
  <si>
    <t xml:space="preserve"> SST=0.185741, SSR=0.023409, SSE=0.162332,</t>
  </si>
  <si>
    <t xml:space="preserve"> MSE=0.027055, estimated sigma=0.164485,</t>
  </si>
  <si>
    <t>File Created: 2025-06-29 1:31 am CDT</t>
  </si>
  <si>
    <t>Data Updated: 2025-06-27</t>
  </si>
  <si>
    <t>File Created: 2025-08-17 9:33 am CDT</t>
  </si>
  <si>
    <t>Data Updated: 2025-07-31</t>
  </si>
  <si>
    <t xml:space="preserve"> there are 90 data and getting the several lines.</t>
  </si>
  <si>
    <t xml:space="preserve"> line 14, 82.000000&lt;=X&lt;=90.000000,</t>
  </si>
  <si>
    <t xml:space="preserve"> sorting order= 82 ~ 90, data number=9,</t>
  </si>
  <si>
    <t xml:space="preserve"> The estimated line Y=2.635081+-0.001938*X, R2=0.001316,</t>
  </si>
  <si>
    <t xml:space="preserve"> SST=0.171203, SSR=0.000225, SSE=0.170978,</t>
  </si>
  <si>
    <t xml:space="preserve"> MSE=0.024425, estimated sigma=0.156286,</t>
  </si>
  <si>
    <t xml:space="preserve"> H0:X and Y are uncorrelated, H1:against H0,  F=40.036662,</t>
  </si>
  <si>
    <t>File Created: 2025-09-02 6:01 am CDT</t>
  </si>
  <si>
    <t>Data Updated: 2025-08-29</t>
  </si>
  <si>
    <t xml:space="preserve"> there are 91 data and getting the several lines.</t>
  </si>
  <si>
    <t xml:space="preserve"> The estimated line Y=-3.924558+0.076813*X, R2=0.866259,</t>
  </si>
  <si>
    <t xml:space="preserve"> SST=0.068112, SSR=0.059002, SSE=0.009109,</t>
  </si>
  <si>
    <t xml:space="preserve"> MSE=0.003036, estimated sigma=0.055104,</t>
  </si>
  <si>
    <t xml:space="preserve"> line 15, 87.000000&lt;=X&lt;=91.000000,</t>
  </si>
  <si>
    <t xml:space="preserve"> sorting order= 87 ~ 91, data number=5,</t>
  </si>
  <si>
    <t xml:space="preserve"> The estimated line Y=-5.106519+0.084615*X, R2=0.743465,</t>
  </si>
  <si>
    <t xml:space="preserve"> SST=0.096302, SSR=0.071598, SSE=0.024705,</t>
  </si>
  <si>
    <t xml:space="preserve"> MSE=0.008235, estimated sigma=0.090747,</t>
  </si>
  <si>
    <t xml:space="preserve"> H0:X and Y are uncorrelated, H1:against H0,  F=36.784372,</t>
  </si>
  <si>
    <t>File Created: 2025-09-29 9:16 pm CDT</t>
  </si>
  <si>
    <t>Data Updated: 2025-09-26</t>
  </si>
  <si>
    <t xml:space="preserve"> there are 92 data and getting the several lines.</t>
  </si>
  <si>
    <t xml:space="preserve"> The estimated line Y=5.601813+-0.167597*X, R2=0.595670,</t>
  </si>
  <si>
    <t xml:space="preserve"> SST=1.980498, SSR=1.179724, SSE=0.800774,</t>
  </si>
  <si>
    <t xml:space="preserve"> MSE=0.133462, estimated sigma=0.365325,</t>
  </si>
  <si>
    <t xml:space="preserve"> The estimated line Y=-2.284439+0.104235*X, R2=0.807310,</t>
  </si>
  <si>
    <t xml:space="preserve"> SST=0.565241, SSR=0.456324, SSE=0.108916,</t>
  </si>
  <si>
    <t xml:space="preserve"> MSE=0.018153, estimated sigma=0.134732,</t>
  </si>
  <si>
    <t xml:space="preserve"> The estimated line Y=-13.692252+0.427426*X, R2=0.877031,</t>
  </si>
  <si>
    <t xml:space="preserve"> SST=2.083086, SSR=1.826931, SSE=0.256155,</t>
  </si>
  <si>
    <t xml:space="preserve"> MSE=0.085385, estimated sigma=0.292207,</t>
  </si>
  <si>
    <t xml:space="preserve"> The estimated line Y=-14.503127+0.431488*X, R2=0.964342,</t>
  </si>
  <si>
    <t xml:space="preserve"> SST=1.930663, SSR=1.861820, SSE=0.068843,</t>
  </si>
  <si>
    <t xml:space="preserve"> MSE=0.022948, estimated sigma=0.151485,</t>
  </si>
  <si>
    <t xml:space="preserve"> The estimated line Y=-1.143146+0.153159*X, R2=0.745604,</t>
  </si>
  <si>
    <t xml:space="preserve"> SST=0.550570, SSR=0.410508, SSE=0.140063,</t>
  </si>
  <si>
    <t xml:space="preserve"> MSE=0.035016, estimated sigma=0.187125,</t>
  </si>
  <si>
    <t xml:space="preserve"> The estimated line Y=20.304966+-0.242872*X, R2=0.926788,</t>
  </si>
  <si>
    <t xml:space="preserve"> SST=2.673158, SSR=2.477452, SSE=0.195707,</t>
  </si>
  <si>
    <t xml:space="preserve"> MSE=0.032618, estimated sigma=0.180604,</t>
  </si>
  <si>
    <t xml:space="preserve"> The estimated line Y=24.914960+-0.322995*X, R2=0.841767,</t>
  </si>
  <si>
    <t xml:space="preserve"> SST=1.239369, SSR=1.043260, SSE=0.196109,</t>
  </si>
  <si>
    <t xml:space="preserve"> MSE=0.065370, estimated sigma=0.255675,</t>
  </si>
  <si>
    <t xml:space="preserve"> The estimated line Y=17.181051+-0.201339*X, R2=0.881343,</t>
  </si>
  <si>
    <t xml:space="preserve"> SST=0.459951, SSR=0.405374, SSE=0.054576,</t>
  </si>
  <si>
    <t xml:space="preserve"> MSE=0.018192, estimated sigma=0.134878,</t>
  </si>
  <si>
    <t xml:space="preserve"> The estimated line Y=7.211624+-0.059551*X, R2=0.645096,</t>
  </si>
  <si>
    <t xml:space="preserve"> SST=0.329836, SSR=0.212776, SSE=0.117060,</t>
  </si>
  <si>
    <t xml:space="preserve"> MSE=0.016723, estimated sigma=0.129317,</t>
  </si>
  <si>
    <t xml:space="preserve"> The estimated line Y=-1.453056+0.048516*X, R2=0.570025,</t>
  </si>
  <si>
    <t xml:space="preserve"> SST=0.041293, SSR=0.023538, SSE=0.017755,</t>
  </si>
  <si>
    <t xml:space="preserve"> MSE=0.005918, estimated sigma=0.076931,</t>
  </si>
  <si>
    <t xml:space="preserve"> line 15, 87.000000&lt;=X&lt;=92.000000,</t>
  </si>
  <si>
    <t xml:space="preserve"> sorting order= 87 ~ 92, data number=6,</t>
  </si>
  <si>
    <t xml:space="preserve"> The estimated line Y=-5.171575+0.085765*X, R2=0.874556,</t>
  </si>
  <si>
    <t xml:space="preserve"> SST=0.147187, SSR=0.128723, SSE=0.018464,</t>
  </si>
  <si>
    <t xml:space="preserve"> MSE=0.004616, estimated sigma=0.067941,</t>
  </si>
  <si>
    <t xml:space="preserve"> H0:X and Y are uncorrelated, H1:against H0,  F=38.481805,</t>
  </si>
  <si>
    <t>File Created: 2025-12-08 12:23 am CST</t>
  </si>
  <si>
    <t>Data Updated: 2025-12-05</t>
  </si>
  <si>
    <t xml:space="preserve"> there are 93 data and getting the several lines.</t>
  </si>
  <si>
    <t xml:space="preserve"> line 15, 87.000000&lt;=X&lt;=93.000000,</t>
  </si>
  <si>
    <t xml:space="preserve"> sorting order= 87 ~ 93, data number=7,</t>
  </si>
  <si>
    <t xml:space="preserve"> The estimated line Y=-5.013733+0.083989*X, R2=0.915452,</t>
  </si>
  <si>
    <t xml:space="preserve"> SST=0.215758, SSR=0.197516, SSE=0.018242,</t>
  </si>
  <si>
    <t xml:space="preserve"> MSE=0.003648, estimated sigma=0.060402,</t>
  </si>
  <si>
    <t>line</t>
  </si>
  <si>
    <t>data number</t>
  </si>
  <si>
    <t>截距 (Intercept)</t>
  </si>
  <si>
    <t>斜率 (Slope)</t>
  </si>
  <si>
    <t>R²</t>
  </si>
  <si>
    <t>MSE</t>
  </si>
  <si>
    <t>estimated sigma</t>
  </si>
  <si>
    <t>起始日期</t>
  </si>
  <si>
    <t>結束日期</t>
  </si>
  <si>
    <t xml:space="preserve"> H0:X and Y are uncorrelated, H1:against H0,  F=37.273815,</t>
  </si>
  <si>
    <t>File Created: 2026-01-24 3:54 am CST</t>
  </si>
  <si>
    <t>Data Updated: 2026-01-22</t>
  </si>
  <si>
    <t xml:space="preserve"> there are 95 data and getting the several lines.</t>
  </si>
  <si>
    <t xml:space="preserve"> line 15, 87.000000&lt;=X&lt;=95.000000,</t>
  </si>
  <si>
    <t xml:space="preserve"> sorting order= 87 ~ 95, data number=9,</t>
  </si>
  <si>
    <t xml:space="preserve"> The estimated line Y=-2.976986+0.061139*X, R2=0.820234,</t>
  </si>
  <si>
    <t xml:space="preserve"> SST=0.273432, SSR=0.224279, SSE=0.049154,</t>
  </si>
  <si>
    <t xml:space="preserve"> MSE=0.007022, estimated sigma=0.083797,</t>
  </si>
  <si>
    <t xml:space="preserve"> H0:X and Y are uncorrelated, H1:against H0,  F=34.182284,</t>
  </si>
  <si>
    <t>File Created: 2026-02-24 6:50 am CST</t>
  </si>
  <si>
    <t>Data Updated: 2026-02-20</t>
  </si>
  <si>
    <t xml:space="preserve"> there are 96 data and getting the several lines.</t>
  </si>
  <si>
    <t xml:space="preserve"> line 15, 87.000000&lt;=X&lt;=96.000000,</t>
  </si>
  <si>
    <t xml:space="preserve"> sorting order= 87 ~ 96, data number=10,</t>
  </si>
  <si>
    <t xml:space="preserve"> SST=0.384294, SSR=0.346139, SSE=0.038156,</t>
  </si>
  <si>
    <t xml:space="preserve"> MSE=0.004769, estimated sigma=0.069061,</t>
  </si>
  <si>
    <t xml:space="preserve"> H0:X and Y are uncorrelated, H1:against H0,  F=33.696766,</t>
  </si>
  <si>
    <t>File Created: 2026-04-18 10:32 pm CDT</t>
  </si>
  <si>
    <t>Data Updated: 2026-04-09</t>
  </si>
  <si>
    <t xml:space="preserve"> there are 98 data and getting the several lines.</t>
  </si>
  <si>
    <t xml:space="preserve"> The estimated line Y=-5.076881+0.084710*X, R2=0.915737,</t>
  </si>
  <si>
    <t xml:space="preserve"> SST=0.219409, SSR=0.200921, SSE=0.018488,</t>
  </si>
  <si>
    <t xml:space="preserve"> MSE=0.003698, estimated sigma=0.060808,</t>
  </si>
  <si>
    <t xml:space="preserve"> line 16, 94.000000&lt;=X&lt;=98.000000,</t>
  </si>
  <si>
    <t xml:space="preserve"> sorting order= 94 ~ 98, data number=5,</t>
  </si>
  <si>
    <t xml:space="preserve"> The estimated line Y=1.011915+0.018713*X, R2=0.239128,</t>
  </si>
  <si>
    <t xml:space="preserve"> SST=0.014643, SSR=0.003502, SSE=0.011142,</t>
  </si>
  <si>
    <t xml:space="preserve"> MSE=0.003714, estimated sigma=0.060941,</t>
  </si>
  <si>
    <t xml:space="preserve"> H0:X and Y are uncorrelated, H1:against H0,  F=28.854407,</t>
  </si>
  <si>
    <t xml:space="preserve"> The estimated line Y=-3.300071+0.064774*X, R2=0.900712,</t>
    <phoneticPr fontId="2" type="noConversion"/>
  </si>
  <si>
    <t>File Created: 2026-05-07 10:24 am CDT</t>
  </si>
  <si>
    <t>Data Updated: 2026-04-30</t>
  </si>
  <si>
    <t xml:space="preserve"> The data filename is C:\Users\phoeb\Desktop\11.txt,</t>
  </si>
  <si>
    <t xml:space="preserve"> there are 99 data and getting the several lines.</t>
  </si>
  <si>
    <t xml:space="preserve"> line 16, 94.000000&lt;=X&lt;=99.000000,</t>
  </si>
  <si>
    <t xml:space="preserve"> sorting order= 94 ~ 99, data number=6,</t>
  </si>
  <si>
    <t xml:space="preserve"> The estimated line Y=-7.887842+0.112125*X, R2=0.552955,</t>
  </si>
  <si>
    <t xml:space="preserve"> SST=0.397881, SSR=0.220010, SSE=0.177871,</t>
  </si>
  <si>
    <t xml:space="preserve"> MSE=0.044468, estimated sigma=0.210874,</t>
  </si>
  <si>
    <t xml:space="preserve"> H0:X and Y are uncorrelated, H1:against H0,  F=27.168556,</t>
  </si>
  <si>
    <t>observation_date</t>
    <phoneticPr fontId="9" type="noConversion"/>
  </si>
  <si>
    <t xml:space="preserve"> there are 100 data and getting the several lines.</t>
  </si>
  <si>
    <t xml:space="preserve"> line 16, 94.000000&lt;=X&lt;=100.000000,</t>
  </si>
  <si>
    <t xml:space="preserve"> sorting order= 94 ~ 100, data number=7,</t>
  </si>
  <si>
    <t xml:space="preserve"> The estimated line Y=-12.715301+0.162632*X, R2=0.733904,</t>
  </si>
  <si>
    <t xml:space="preserve"> SST=1.009090, SSR=0.740575, SSE=0.268515,</t>
  </si>
  <si>
    <t xml:space="preserve"> MSE=0.053703, estimated sigma=0.231739,</t>
  </si>
  <si>
    <t xml:space="preserve"> H0:X and Y are uncorrelated, H1:against H0,  F=27.048551,</t>
  </si>
  <si>
    <t>File Created: 2026-05-29 5:53 am CDT</t>
  </si>
  <si>
    <t>Data Updated: 2026-05-28</t>
  </si>
  <si>
    <r>
      <t>PCE</t>
    </r>
    <r>
      <rPr>
        <sz val="10"/>
        <rFont val="Microsoft JhengHei"/>
        <family val="2"/>
        <charset val="136"/>
      </rPr>
      <t>物價指數年增率</t>
    </r>
    <phoneticPr fontId="2" type="noConversion"/>
  </si>
  <si>
    <t>時間代號</t>
    <phoneticPr fontId="2" type="noConversion"/>
  </si>
  <si>
    <t>估計值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</si>
</sst>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.000"/>
    <numFmt numFmtId="178" formatCode="yyyy\-mm"/>
    <numFmt numFmtId="179" formatCode="0.000000_ "/>
    <numFmt numFmtId="180" formatCode="0.000_ "/>
  </numFmts>
  <fonts count="15"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color indexed="10"/>
      <name val="Arial"/>
      <family val="2"/>
    </font>
    <font>
      <sz val="10"/>
      <color theme="4"/>
      <name val="Arial"/>
      <family val="2"/>
    </font>
    <font>
      <sz val="10"/>
      <name val="Arial"/>
      <family val="2"/>
      <charset val="136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b/>
      <sz val="11"/>
      <color rgb="FFFF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Microsoft JhengHei"/>
      <family val="2"/>
    </font>
    <font>
      <sz val="10"/>
      <name val="Microsoft JhengHe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79">
    <xf numFmtId="0" fontId="0" fillId="0" borderId="0" xfId="0"/>
    <xf numFmtId="176" fontId="0" fillId="0" borderId="0" xfId="0" applyNumberFormat="1"/>
    <xf numFmtId="177" fontId="0" fillId="0" borderId="0" xfId="0" applyNumberFormat="1"/>
    <xf numFmtId="177" fontId="0" fillId="2" borderId="0" xfId="0" applyNumberFormat="1" applyFill="1"/>
    <xf numFmtId="0" fontId="0" fillId="2" borderId="0" xfId="0" applyFill="1"/>
    <xf numFmtId="178" fontId="0" fillId="0" borderId="0" xfId="0" applyNumberFormat="1"/>
    <xf numFmtId="178" fontId="0" fillId="2" borderId="0" xfId="0" applyNumberFormat="1" applyFill="1"/>
    <xf numFmtId="0" fontId="0" fillId="0" borderId="0" xfId="0" applyNumberFormat="1"/>
    <xf numFmtId="0" fontId="0" fillId="2" borderId="0" xfId="0" applyNumberFormat="1" applyFill="1"/>
    <xf numFmtId="0" fontId="0" fillId="0" borderId="0" xfId="0" applyFill="1"/>
    <xf numFmtId="178" fontId="0" fillId="0" borderId="0" xfId="0" applyNumberFormat="1" applyFill="1"/>
    <xf numFmtId="179" fontId="0" fillId="0" borderId="0" xfId="0" applyNumberFormat="1"/>
    <xf numFmtId="179" fontId="0" fillId="2" borderId="0" xfId="0" applyNumberFormat="1" applyFill="1"/>
    <xf numFmtId="177" fontId="0" fillId="2" borderId="0" xfId="0" applyNumberFormat="1" applyFill="1"/>
    <xf numFmtId="0" fontId="0" fillId="2" borderId="0" xfId="0" applyFill="1"/>
    <xf numFmtId="0" fontId="4" fillId="0" borderId="0" xfId="0" applyFont="1"/>
    <xf numFmtId="178" fontId="0" fillId="2" borderId="0" xfId="0" applyNumberFormat="1" applyFill="1"/>
    <xf numFmtId="0" fontId="5" fillId="0" borderId="0" xfId="0" applyFont="1"/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/>
    <xf numFmtId="176" fontId="0" fillId="0" borderId="0" xfId="0" applyNumberFormat="1"/>
    <xf numFmtId="177" fontId="0" fillId="0" borderId="0" xfId="0" applyNumberFormat="1"/>
    <xf numFmtId="177" fontId="0" fillId="0" borderId="0" xfId="0" applyNumberFormat="1" applyFill="1"/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6" fillId="0" borderId="0" xfId="1"/>
    <xf numFmtId="177" fontId="6" fillId="0" borderId="0" xfId="1" applyNumberFormat="1"/>
    <xf numFmtId="0" fontId="7" fillId="0" borderId="1" xfId="1" applyFont="1" applyBorder="1" applyAlignment="1">
      <alignment horizontal="center" vertical="top"/>
    </xf>
    <xf numFmtId="0" fontId="6" fillId="0" borderId="0" xfId="1" applyAlignment="1"/>
    <xf numFmtId="0" fontId="0" fillId="0" borderId="0" xfId="0" applyAlignment="1"/>
    <xf numFmtId="177" fontId="6" fillId="2" borderId="0" xfId="1" applyNumberFormat="1" applyFill="1"/>
    <xf numFmtId="177" fontId="6" fillId="0" borderId="0" xfId="1" applyNumberFormat="1"/>
    <xf numFmtId="0" fontId="7" fillId="0" borderId="1" xfId="1" applyFont="1" applyBorder="1" applyAlignment="1">
      <alignment horizontal="center" vertical="top"/>
    </xf>
    <xf numFmtId="176" fontId="6" fillId="0" borderId="0" xfId="1" applyNumberFormat="1"/>
    <xf numFmtId="177" fontId="6" fillId="0" borderId="0" xfId="1" applyNumberFormat="1"/>
    <xf numFmtId="0" fontId="7" fillId="0" borderId="1" xfId="1" applyFont="1" applyBorder="1" applyAlignment="1">
      <alignment horizontal="center" vertical="top"/>
    </xf>
    <xf numFmtId="176" fontId="6" fillId="0" borderId="0" xfId="1" applyNumberFormat="1"/>
    <xf numFmtId="0" fontId="7" fillId="0" borderId="1" xfId="0" applyFont="1" applyBorder="1" applyAlignment="1">
      <alignment horizontal="center" vertical="top"/>
    </xf>
    <xf numFmtId="177" fontId="6" fillId="0" borderId="0" xfId="1" applyNumberFormat="1"/>
    <xf numFmtId="0" fontId="7" fillId="0" borderId="1" xfId="1" applyFont="1" applyBorder="1" applyAlignment="1">
      <alignment horizontal="center" vertical="top"/>
    </xf>
    <xf numFmtId="0" fontId="10" fillId="0" borderId="0" xfId="0" applyFont="1"/>
    <xf numFmtId="178" fontId="0" fillId="3" borderId="0" xfId="0" applyNumberFormat="1" applyFill="1"/>
    <xf numFmtId="177" fontId="0" fillId="3" borderId="0" xfId="0" applyNumberFormat="1" applyFill="1"/>
    <xf numFmtId="0" fontId="0" fillId="3" borderId="0" xfId="0" applyFill="1"/>
    <xf numFmtId="177" fontId="6" fillId="0" borderId="0" xfId="1" applyNumberFormat="1"/>
    <xf numFmtId="0" fontId="7" fillId="0" borderId="1" xfId="1" applyFont="1" applyBorder="1" applyAlignment="1">
      <alignment horizontal="center" vertical="top"/>
    </xf>
    <xf numFmtId="176" fontId="6" fillId="0" borderId="0" xfId="1" applyNumberFormat="1"/>
    <xf numFmtId="177" fontId="6" fillId="0" borderId="0" xfId="1" applyNumberFormat="1"/>
    <xf numFmtId="0" fontId="7" fillId="0" borderId="1" xfId="1" applyFont="1" applyBorder="1" applyAlignment="1">
      <alignment horizontal="center" vertical="top"/>
    </xf>
    <xf numFmtId="176" fontId="6" fillId="0" borderId="0" xfId="1" applyNumberFormat="1"/>
    <xf numFmtId="177" fontId="6" fillId="0" borderId="0" xfId="1" applyNumberFormat="1"/>
    <xf numFmtId="0" fontId="7" fillId="0" borderId="1" xfId="1" applyFont="1" applyBorder="1" applyAlignment="1">
      <alignment horizontal="center" vertical="top"/>
    </xf>
    <xf numFmtId="176" fontId="6" fillId="0" borderId="0" xfId="1" applyNumberFormat="1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78" fontId="0" fillId="0" borderId="0" xfId="0" applyNumberFormat="1" applyAlignment="1">
      <alignment vertical="center" wrapText="1"/>
    </xf>
    <xf numFmtId="180" fontId="0" fillId="0" borderId="0" xfId="0" applyNumberFormat="1" applyAlignment="1">
      <alignment horizontal="right" vertical="center" wrapText="1"/>
    </xf>
    <xf numFmtId="177" fontId="6" fillId="0" borderId="0" xfId="1" applyNumberFormat="1"/>
    <xf numFmtId="0" fontId="7" fillId="0" borderId="1" xfId="1" applyFont="1" applyBorder="1" applyAlignment="1">
      <alignment horizontal="center" vertical="top"/>
    </xf>
    <xf numFmtId="177" fontId="6" fillId="0" borderId="0" xfId="1" applyNumberFormat="1"/>
    <xf numFmtId="0" fontId="7" fillId="0" borderId="1" xfId="1" applyFont="1" applyBorder="1" applyAlignment="1">
      <alignment horizontal="center" vertical="top"/>
    </xf>
    <xf numFmtId="176" fontId="6" fillId="0" borderId="0" xfId="1" applyNumberFormat="1"/>
    <xf numFmtId="177" fontId="6" fillId="0" borderId="0" xfId="1" applyNumberFormat="1"/>
    <xf numFmtId="0" fontId="7" fillId="0" borderId="1" xfId="1" applyFont="1" applyBorder="1" applyAlignment="1">
      <alignment horizontal="center" vertical="top"/>
    </xf>
    <xf numFmtId="176" fontId="6" fillId="0" borderId="0" xfId="1" applyNumberFormat="1"/>
    <xf numFmtId="0" fontId="12" fillId="0" borderId="0" xfId="0" applyFont="1"/>
    <xf numFmtId="0" fontId="14" fillId="0" borderId="0" xfId="0" applyFont="1"/>
    <xf numFmtId="0" fontId="13" fillId="0" borderId="0" xfId="0" applyFont="1"/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1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2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4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8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9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1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6"/>
          <c:tx>
            <c:v>美PCE物價年增率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'202604'!$A$24:$A$123</c:f>
              <c:numCache>
                <c:formatCode>yyyy\-mm</c:formatCode>
                <c:ptCount val="10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  <c:pt idx="98">
                  <c:v>46082</c:v>
                </c:pt>
                <c:pt idx="99">
                  <c:v>46113</c:v>
                </c:pt>
              </c:numCache>
            </c:numRef>
          </c:cat>
          <c:val>
            <c:numRef>
              <c:f>'202604'!$G$24:$G$123</c:f>
              <c:numCache>
                <c:formatCode>General</c:formatCode>
                <c:ptCount val="100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1.794482114</c:v>
                </c:pt>
                <c:pt idx="25">
                  <c:v>1.689097203</c:v>
                </c:pt>
                <c:pt idx="26">
                  <c:v>1.1662090439999999</c:v>
                </c:pt>
                <c:pt idx="27">
                  <c:v>0.46246130000000002</c:v>
                </c:pt>
                <c:pt idx="28">
                  <c:v>0.49016290400000001</c:v>
                </c:pt>
                <c:pt idx="29">
                  <c:v>0.75953770600000003</c:v>
                </c:pt>
                <c:pt idx="30">
                  <c:v>0.92258400699999998</c:v>
                </c:pt>
                <c:pt idx="31">
                  <c:v>1.157519051</c:v>
                </c:pt>
                <c:pt idx="32">
                  <c:v>1.276353716</c:v>
                </c:pt>
                <c:pt idx="33">
                  <c:v>1.1874861670000001</c:v>
                </c:pt>
                <c:pt idx="34">
                  <c:v>1.1862647079999999</c:v>
                </c:pt>
                <c:pt idx="35">
                  <c:v>1.334522132</c:v>
                </c:pt>
                <c:pt idx="36">
                  <c:v>1.5857976840000001</c:v>
                </c:pt>
                <c:pt idx="37">
                  <c:v>1.8427318720000001</c:v>
                </c:pt>
                <c:pt idx="38">
                  <c:v>2.6690067229999999</c:v>
                </c:pt>
                <c:pt idx="39">
                  <c:v>3.6402858299999998</c:v>
                </c:pt>
                <c:pt idx="40">
                  <c:v>4.0724634890000004</c:v>
                </c:pt>
                <c:pt idx="41">
                  <c:v>4.3061283210000001</c:v>
                </c:pt>
                <c:pt idx="42">
                  <c:v>4.4732161640000001</c:v>
                </c:pt>
                <c:pt idx="43">
                  <c:v>4.5809096980000001</c:v>
                </c:pt>
                <c:pt idx="44">
                  <c:v>4.737428253</c:v>
                </c:pt>
                <c:pt idx="45">
                  <c:v>5.3361356530000004</c:v>
                </c:pt>
                <c:pt idx="46">
                  <c:v>5.9301905789999996</c:v>
                </c:pt>
                <c:pt idx="47">
                  <c:v>6.141969177</c:v>
                </c:pt>
                <c:pt idx="48">
                  <c:v>6.2724335120000001</c:v>
                </c:pt>
                <c:pt idx="49">
                  <c:v>6.5455399060000001</c:v>
                </c:pt>
                <c:pt idx="50">
                  <c:v>6.9264109700000001</c:v>
                </c:pt>
                <c:pt idx="51">
                  <c:v>6.6847553380000004</c:v>
                </c:pt>
                <c:pt idx="52">
                  <c:v>6.7945458749999998</c:v>
                </c:pt>
                <c:pt idx="53">
                  <c:v>7.2434718650000001</c:v>
                </c:pt>
                <c:pt idx="54">
                  <c:v>6.7502013620000003</c:v>
                </c:pt>
                <c:pt idx="55">
                  <c:v>6.6396775899999998</c:v>
                </c:pt>
                <c:pt idx="56">
                  <c:v>6.6679390009999997</c:v>
                </c:pt>
                <c:pt idx="57">
                  <c:v>6.4616023550000001</c:v>
                </c:pt>
                <c:pt idx="58">
                  <c:v>6.0304932740000003</c:v>
                </c:pt>
                <c:pt idx="59">
                  <c:v>5.5200506279999999</c:v>
                </c:pt>
                <c:pt idx="60">
                  <c:v>5.5077345859999998</c:v>
                </c:pt>
                <c:pt idx="61">
                  <c:v>5.1978038440000001</c:v>
                </c:pt>
                <c:pt idx="62">
                  <c:v>4.4282731569999996</c:v>
                </c:pt>
                <c:pt idx="63">
                  <c:v>4.4760129600000003</c:v>
                </c:pt>
                <c:pt idx="64">
                  <c:v>4.0034624540000001</c:v>
                </c:pt>
                <c:pt idx="65">
                  <c:v>3.28452134</c:v>
                </c:pt>
                <c:pt idx="66">
                  <c:v>3.4090421929999999</c:v>
                </c:pt>
                <c:pt idx="67">
                  <c:v>3.4320599199999999</c:v>
                </c:pt>
                <c:pt idx="68">
                  <c:v>3.4488928269999999</c:v>
                </c:pt>
                <c:pt idx="69">
                  <c:v>3.0232617309999998</c:v>
                </c:pt>
                <c:pt idx="70">
                  <c:v>2.7650899990000002</c:v>
                </c:pt>
                <c:pt idx="71">
                  <c:v>2.767265847</c:v>
                </c:pt>
                <c:pt idx="72">
                  <c:v>2.698751449</c:v>
                </c:pt>
                <c:pt idx="73">
                  <c:v>2.7050574269999998</c:v>
                </c:pt>
                <c:pt idx="74">
                  <c:v>2.927939233</c:v>
                </c:pt>
                <c:pt idx="75">
                  <c:v>2.826154013</c:v>
                </c:pt>
                <c:pt idx="76">
                  <c:v>2.661672909</c:v>
                </c:pt>
                <c:pt idx="77">
                  <c:v>2.5483734400000002</c:v>
                </c:pt>
                <c:pt idx="78">
                  <c:v>2.5943767769999999</c:v>
                </c:pt>
                <c:pt idx="79">
                  <c:v>2.412994957</c:v>
                </c:pt>
                <c:pt idx="80">
                  <c:v>2.260766437</c:v>
                </c:pt>
                <c:pt idx="81">
                  <c:v>2.4776925360000002</c:v>
                </c:pt>
                <c:pt idx="82">
                  <c:v>2.5878034130000001</c:v>
                </c:pt>
                <c:pt idx="83">
                  <c:v>2.7280946899999998</c:v>
                </c:pt>
                <c:pt idx="84">
                  <c:v>2.6073795299999998</c:v>
                </c:pt>
                <c:pt idx="85">
                  <c:v>2.7104846729999998</c:v>
                </c:pt>
                <c:pt idx="86">
                  <c:v>2.3594336710000001</c:v>
                </c:pt>
                <c:pt idx="87">
                  <c:v>2.277425998</c:v>
                </c:pt>
                <c:pt idx="88">
                  <c:v>2.4580860649999998</c:v>
                </c:pt>
                <c:pt idx="89">
                  <c:v>2.5935129799999999</c:v>
                </c:pt>
                <c:pt idx="90">
                  <c:v>2.605547294</c:v>
                </c:pt>
                <c:pt idx="91">
                  <c:v>2.747620854</c:v>
                </c:pt>
                <c:pt idx="92">
                  <c:v>2.7874424150000001</c:v>
                </c:pt>
                <c:pt idx="93">
                  <c:v>2.712580526</c:v>
                </c:pt>
                <c:pt idx="94">
                  <c:v>2.820189831</c:v>
                </c:pt>
                <c:pt idx="95">
                  <c:v>2.878083518</c:v>
                </c:pt>
                <c:pt idx="96">
                  <c:v>2.8584641639999999</c:v>
                </c:pt>
                <c:pt idx="97">
                  <c:v>2.8581412159999999</c:v>
                </c:pt>
                <c:pt idx="98">
                  <c:v>3.525460335</c:v>
                </c:pt>
                <c:pt idx="99">
                  <c:v>3.7669441140000002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6-4DD2-AFD1-758A73E54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C6-4DD2-AFD1-758A73E5496C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C6-4DD2-AFD1-758A73E5496C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C6-4DD2-AFD1-758A73E5496C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C6-4DD2-AFD1-758A73E5496C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CC6-4DD2-AFD1-758A73E5496C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CC6-4DD2-AFD1-758A73E5496C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CC6-4DD2-AFD1-758A73E5496C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CC6-4DD2-AFD1-758A73E5496C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CC6-4DD2-AFD1-758A73E5496C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CC6-4DD2-AFD1-758A73E5496C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CC6-4DD2-AFD1-758A73E5496C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CC6-4DD2-AFD1-758A73E5496C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CC6-4DD2-AFD1-758A73E5496C}"/>
            </c:ext>
          </c:extLst>
        </c:ser>
        <c:ser>
          <c:idx val="14"/>
          <c:order val="13"/>
          <c:tx>
            <c:strRef>
              <c:f>'202507'!$A$105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'202507'!$E$105:$E$109</c:f>
              <c:numCache>
                <c:formatCode>General</c:formatCode>
                <c:ptCount val="5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</c:numCache>
            </c:numRef>
          </c:xVal>
          <c:yVal>
            <c:numRef>
              <c:f>'202507'!$H$105:$H$109</c:f>
              <c:numCache>
                <c:formatCode>General</c:formatCode>
                <c:ptCount val="5"/>
                <c:pt idx="0">
                  <c:v>2.3741024982000001</c:v>
                </c:pt>
                <c:pt idx="1">
                  <c:v>2.4509154302999998</c:v>
                </c:pt>
                <c:pt idx="2">
                  <c:v>2.5277283624</c:v>
                </c:pt>
                <c:pt idx="3">
                  <c:v>2.6045412945000002</c:v>
                </c:pt>
                <c:pt idx="4">
                  <c:v>2.6813542265999999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CC6-4DD2-AFD1-758A73E5496C}"/>
            </c:ext>
          </c:extLst>
        </c:ser>
        <c:ser>
          <c:idx val="15"/>
          <c:order val="14"/>
          <c:tx>
            <c:strRef>
              <c:f>'202602'!$A$110</c:f>
              <c:strCache>
                <c:ptCount val="1"/>
                <c:pt idx="0">
                  <c:v>2025-03</c:v>
                </c:pt>
              </c:strCache>
            </c:strRef>
          </c:tx>
          <c:marker>
            <c:symbol val="none"/>
          </c:marker>
          <c:xVal>
            <c:numRef>
              <c:f>'202602'!$E$110:$E$116</c:f>
              <c:numCache>
                <c:formatCode>General</c:formatCode>
                <c:ptCount val="7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  <c:pt idx="5">
                  <c:v>92</c:v>
                </c:pt>
                <c:pt idx="6">
                  <c:v>93</c:v>
                </c:pt>
              </c:numCache>
            </c:numRef>
          </c:xVal>
          <c:yVal>
            <c:numRef>
              <c:f>'202602'!$H$110:$H$116</c:f>
              <c:numCache>
                <c:formatCode>General</c:formatCode>
                <c:ptCount val="7"/>
                <c:pt idx="0">
                  <c:v>2.2928801995999999</c:v>
                </c:pt>
                <c:pt idx="1">
                  <c:v>2.3775900985999998</c:v>
                </c:pt>
                <c:pt idx="2">
                  <c:v>2.4622999977000002</c:v>
                </c:pt>
                <c:pt idx="3">
                  <c:v>2.5470098967000001</c:v>
                </c:pt>
                <c:pt idx="4">
                  <c:v>2.6317197958</c:v>
                </c:pt>
                <c:pt idx="5">
                  <c:v>2.7164296948</c:v>
                </c:pt>
                <c:pt idx="6">
                  <c:v>2.8011395937999999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CC6-4DD2-AFD1-758A73E5496C}"/>
            </c:ext>
          </c:extLst>
        </c:ser>
        <c:ser>
          <c:idx val="16"/>
          <c:order val="15"/>
          <c:tx>
            <c:strRef>
              <c:f>'202603'!$A$117</c:f>
              <c:strCache>
                <c:ptCount val="1"/>
                <c:pt idx="0">
                  <c:v>2025-10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xVal>
            <c:numRef>
              <c:f>'202604'!$E$117:$E$123</c:f>
              <c:numCache>
                <c:formatCode>General</c:formatCode>
                <c:ptCount val="7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  <c:pt idx="5">
                  <c:v>99</c:v>
                </c:pt>
                <c:pt idx="6">
                  <c:v>100</c:v>
                </c:pt>
              </c:numCache>
            </c:numRef>
          </c:xVal>
          <c:yVal>
            <c:numRef>
              <c:f>'202604'!$H$117:$H$123</c:f>
              <c:numCache>
                <c:formatCode>General</c:formatCode>
                <c:ptCount val="7"/>
                <c:pt idx="0">
                  <c:v>2.5720852287999998</c:v>
                </c:pt>
                <c:pt idx="1">
                  <c:v>2.7347169955999999</c:v>
                </c:pt>
                <c:pt idx="2">
                  <c:v>2.8973487624000001</c:v>
                </c:pt>
                <c:pt idx="3">
                  <c:v>3.0599805291000002</c:v>
                </c:pt>
                <c:pt idx="4">
                  <c:v>3.2226122958999999</c:v>
                </c:pt>
                <c:pt idx="5">
                  <c:v>3.3852440627</c:v>
                </c:pt>
                <c:pt idx="6">
                  <c:v>3.5478758295000001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CC6-4DD2-AFD1-758A73E54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663237765554092"/>
          <c:y val="3.78050526872592E-2"/>
          <c:w val="0.22545101304468498"/>
          <c:h val="0.9393780035141589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6"/>
          <c:tx>
            <c:v>美PCE物價年增率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'202603'!$A$24:$A$122</c:f>
              <c:numCache>
                <c:formatCode>yyyy\-mm</c:formatCode>
                <c:ptCount val="99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  <c:pt idx="98">
                  <c:v>46082</c:v>
                </c:pt>
              </c:numCache>
            </c:numRef>
          </c:cat>
          <c:val>
            <c:numRef>
              <c:f>'202603'!$G$24:$G$122</c:f>
              <c:numCache>
                <c:formatCode>General</c:formatCode>
                <c:ptCount val="99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1.794482114</c:v>
                </c:pt>
                <c:pt idx="25">
                  <c:v>1.689097203</c:v>
                </c:pt>
                <c:pt idx="26">
                  <c:v>1.1662090439999999</c:v>
                </c:pt>
                <c:pt idx="27">
                  <c:v>0.46246130000000002</c:v>
                </c:pt>
                <c:pt idx="28">
                  <c:v>0.49016290400000001</c:v>
                </c:pt>
                <c:pt idx="29">
                  <c:v>0.75953770600000003</c:v>
                </c:pt>
                <c:pt idx="30">
                  <c:v>0.92258400699999998</c:v>
                </c:pt>
                <c:pt idx="31">
                  <c:v>1.157519051</c:v>
                </c:pt>
                <c:pt idx="32">
                  <c:v>1.276353716</c:v>
                </c:pt>
                <c:pt idx="33">
                  <c:v>1.1874861670000001</c:v>
                </c:pt>
                <c:pt idx="34">
                  <c:v>1.1862647079999999</c:v>
                </c:pt>
                <c:pt idx="35">
                  <c:v>1.334522132</c:v>
                </c:pt>
                <c:pt idx="36">
                  <c:v>1.5857976840000001</c:v>
                </c:pt>
                <c:pt idx="37">
                  <c:v>1.8427318720000001</c:v>
                </c:pt>
                <c:pt idx="38">
                  <c:v>2.6690067229999999</c:v>
                </c:pt>
                <c:pt idx="39">
                  <c:v>3.6402858299999998</c:v>
                </c:pt>
                <c:pt idx="40">
                  <c:v>4.0724634890000004</c:v>
                </c:pt>
                <c:pt idx="41">
                  <c:v>4.3061283210000001</c:v>
                </c:pt>
                <c:pt idx="42">
                  <c:v>4.4732161640000001</c:v>
                </c:pt>
                <c:pt idx="43">
                  <c:v>4.5809096980000001</c:v>
                </c:pt>
                <c:pt idx="44">
                  <c:v>4.737428253</c:v>
                </c:pt>
                <c:pt idx="45">
                  <c:v>5.3361356530000004</c:v>
                </c:pt>
                <c:pt idx="46">
                  <c:v>5.9301905789999996</c:v>
                </c:pt>
                <c:pt idx="47">
                  <c:v>6.141969177</c:v>
                </c:pt>
                <c:pt idx="48">
                  <c:v>6.2724335120000001</c:v>
                </c:pt>
                <c:pt idx="49">
                  <c:v>6.5455399060000001</c:v>
                </c:pt>
                <c:pt idx="50">
                  <c:v>6.9264109700000001</c:v>
                </c:pt>
                <c:pt idx="51">
                  <c:v>6.6847553380000004</c:v>
                </c:pt>
                <c:pt idx="52">
                  <c:v>6.7945458749999998</c:v>
                </c:pt>
                <c:pt idx="53">
                  <c:v>7.2434718650000001</c:v>
                </c:pt>
                <c:pt idx="54">
                  <c:v>6.7502013620000003</c:v>
                </c:pt>
                <c:pt idx="55">
                  <c:v>6.6396775899999998</c:v>
                </c:pt>
                <c:pt idx="56">
                  <c:v>6.6679390009999997</c:v>
                </c:pt>
                <c:pt idx="57">
                  <c:v>6.4616023550000001</c:v>
                </c:pt>
                <c:pt idx="58">
                  <c:v>6.0304932740000003</c:v>
                </c:pt>
                <c:pt idx="59">
                  <c:v>5.5200506279999999</c:v>
                </c:pt>
                <c:pt idx="60">
                  <c:v>5.5077345859999998</c:v>
                </c:pt>
                <c:pt idx="61">
                  <c:v>5.1978038440000001</c:v>
                </c:pt>
                <c:pt idx="62">
                  <c:v>4.4282731569999996</c:v>
                </c:pt>
                <c:pt idx="63">
                  <c:v>4.4760129600000003</c:v>
                </c:pt>
                <c:pt idx="64">
                  <c:v>4.0034624540000001</c:v>
                </c:pt>
                <c:pt idx="65">
                  <c:v>3.28452134</c:v>
                </c:pt>
                <c:pt idx="66">
                  <c:v>3.4090421929999999</c:v>
                </c:pt>
                <c:pt idx="67">
                  <c:v>3.4320599199999999</c:v>
                </c:pt>
                <c:pt idx="68">
                  <c:v>3.4488928269999999</c:v>
                </c:pt>
                <c:pt idx="69">
                  <c:v>3.0232617309999998</c:v>
                </c:pt>
                <c:pt idx="70">
                  <c:v>2.7650899990000002</c:v>
                </c:pt>
                <c:pt idx="71">
                  <c:v>2.767265847</c:v>
                </c:pt>
                <c:pt idx="72">
                  <c:v>2.698751449</c:v>
                </c:pt>
                <c:pt idx="73">
                  <c:v>2.7050574269999998</c:v>
                </c:pt>
                <c:pt idx="74">
                  <c:v>2.927939233</c:v>
                </c:pt>
                <c:pt idx="75">
                  <c:v>2.826154013</c:v>
                </c:pt>
                <c:pt idx="76">
                  <c:v>2.661672909</c:v>
                </c:pt>
                <c:pt idx="77">
                  <c:v>2.5483734400000002</c:v>
                </c:pt>
                <c:pt idx="78">
                  <c:v>2.5943767769999999</c:v>
                </c:pt>
                <c:pt idx="79">
                  <c:v>2.412994957</c:v>
                </c:pt>
                <c:pt idx="80">
                  <c:v>2.260766437</c:v>
                </c:pt>
                <c:pt idx="81">
                  <c:v>2.4776925360000002</c:v>
                </c:pt>
                <c:pt idx="82">
                  <c:v>2.5878034130000001</c:v>
                </c:pt>
                <c:pt idx="83">
                  <c:v>2.7280946899999998</c:v>
                </c:pt>
                <c:pt idx="84">
                  <c:v>2.6073795299999998</c:v>
                </c:pt>
                <c:pt idx="85">
                  <c:v>2.7104846729999998</c:v>
                </c:pt>
                <c:pt idx="86">
                  <c:v>2.3594336710000001</c:v>
                </c:pt>
                <c:pt idx="87">
                  <c:v>2.277425998</c:v>
                </c:pt>
                <c:pt idx="88">
                  <c:v>2.4580860649999998</c:v>
                </c:pt>
                <c:pt idx="89">
                  <c:v>2.5935129799999999</c:v>
                </c:pt>
                <c:pt idx="90">
                  <c:v>2.605547294</c:v>
                </c:pt>
                <c:pt idx="91">
                  <c:v>2.747620854</c:v>
                </c:pt>
                <c:pt idx="92">
                  <c:v>2.7874424150000001</c:v>
                </c:pt>
                <c:pt idx="93">
                  <c:v>2.712580526</c:v>
                </c:pt>
                <c:pt idx="94">
                  <c:v>2.820189831</c:v>
                </c:pt>
                <c:pt idx="95">
                  <c:v>2.878083518</c:v>
                </c:pt>
                <c:pt idx="96">
                  <c:v>2.8568694830000001</c:v>
                </c:pt>
                <c:pt idx="97">
                  <c:v>2.8295518620000002</c:v>
                </c:pt>
                <c:pt idx="98">
                  <c:v>3.4960814980000001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7-407E-8EB5-8743A77B6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F7-407E-8EB5-8743A77B6DA0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F7-407E-8EB5-8743A77B6DA0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F7-407E-8EB5-8743A77B6DA0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F7-407E-8EB5-8743A77B6DA0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F7-407E-8EB5-8743A77B6DA0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9F7-407E-8EB5-8743A77B6DA0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9F7-407E-8EB5-8743A77B6DA0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9F7-407E-8EB5-8743A77B6DA0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9F7-407E-8EB5-8743A77B6DA0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9F7-407E-8EB5-8743A77B6DA0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9F7-407E-8EB5-8743A77B6DA0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9F7-407E-8EB5-8743A77B6DA0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9F7-407E-8EB5-8743A77B6DA0}"/>
            </c:ext>
          </c:extLst>
        </c:ser>
        <c:ser>
          <c:idx val="14"/>
          <c:order val="13"/>
          <c:tx>
            <c:strRef>
              <c:f>'202507'!$A$105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'202507'!$E$105:$E$109</c:f>
              <c:numCache>
                <c:formatCode>General</c:formatCode>
                <c:ptCount val="5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</c:numCache>
            </c:numRef>
          </c:xVal>
          <c:yVal>
            <c:numRef>
              <c:f>'202507'!$H$105:$H$109</c:f>
              <c:numCache>
                <c:formatCode>General</c:formatCode>
                <c:ptCount val="5"/>
                <c:pt idx="0">
                  <c:v>2.3741024982000001</c:v>
                </c:pt>
                <c:pt idx="1">
                  <c:v>2.4509154302999998</c:v>
                </c:pt>
                <c:pt idx="2">
                  <c:v>2.5277283624</c:v>
                </c:pt>
                <c:pt idx="3">
                  <c:v>2.6045412945000002</c:v>
                </c:pt>
                <c:pt idx="4">
                  <c:v>2.6813542265999999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9F7-407E-8EB5-8743A77B6DA0}"/>
            </c:ext>
          </c:extLst>
        </c:ser>
        <c:ser>
          <c:idx val="15"/>
          <c:order val="14"/>
          <c:tx>
            <c:strRef>
              <c:f>'202602'!$A$110</c:f>
              <c:strCache>
                <c:ptCount val="1"/>
                <c:pt idx="0">
                  <c:v>2025-03</c:v>
                </c:pt>
              </c:strCache>
            </c:strRef>
          </c:tx>
          <c:marker>
            <c:symbol val="none"/>
          </c:marker>
          <c:xVal>
            <c:numRef>
              <c:f>'202602'!$E$110:$E$116</c:f>
              <c:numCache>
                <c:formatCode>General</c:formatCode>
                <c:ptCount val="7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  <c:pt idx="5">
                  <c:v>92</c:v>
                </c:pt>
                <c:pt idx="6">
                  <c:v>93</c:v>
                </c:pt>
              </c:numCache>
            </c:numRef>
          </c:xVal>
          <c:yVal>
            <c:numRef>
              <c:f>'202602'!$H$110:$H$116</c:f>
              <c:numCache>
                <c:formatCode>General</c:formatCode>
                <c:ptCount val="7"/>
                <c:pt idx="0">
                  <c:v>2.2928801995999999</c:v>
                </c:pt>
                <c:pt idx="1">
                  <c:v>2.3775900985999998</c:v>
                </c:pt>
                <c:pt idx="2">
                  <c:v>2.4622999977000002</c:v>
                </c:pt>
                <c:pt idx="3">
                  <c:v>2.5470098967000001</c:v>
                </c:pt>
                <c:pt idx="4">
                  <c:v>2.6317197958</c:v>
                </c:pt>
                <c:pt idx="5">
                  <c:v>2.7164296948</c:v>
                </c:pt>
                <c:pt idx="6">
                  <c:v>2.8011395937999999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D9F7-407E-8EB5-8743A77B6DA0}"/>
            </c:ext>
          </c:extLst>
        </c:ser>
        <c:ser>
          <c:idx val="16"/>
          <c:order val="15"/>
          <c:tx>
            <c:strRef>
              <c:f>'202603'!$A$117</c:f>
              <c:strCache>
                <c:ptCount val="1"/>
                <c:pt idx="0">
                  <c:v>2025-10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xVal>
            <c:numRef>
              <c:f>'202603'!$E$117:$E$122</c:f>
              <c:numCache>
                <c:formatCode>General</c:formatCode>
                <c:ptCount val="6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  <c:pt idx="5">
                  <c:v>99</c:v>
                </c:pt>
              </c:numCache>
            </c:numRef>
          </c:xVal>
          <c:yVal>
            <c:numRef>
              <c:f>'202603'!$H$117:$H$122</c:f>
              <c:numCache>
                <c:formatCode>General</c:formatCode>
                <c:ptCount val="6"/>
                <c:pt idx="0">
                  <c:v>2.6519134826999999</c:v>
                </c:pt>
                <c:pt idx="1">
                  <c:v>2.7640385374999998</c:v>
                </c:pt>
                <c:pt idx="2">
                  <c:v>2.8761635923000002</c:v>
                </c:pt>
                <c:pt idx="3">
                  <c:v>2.9882886471000001</c:v>
                </c:pt>
                <c:pt idx="4">
                  <c:v>3.1004137019</c:v>
                </c:pt>
                <c:pt idx="5">
                  <c:v>3.2125387566999999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D9F7-407E-8EB5-8743A77B6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663237765554092"/>
          <c:y val="3.78050526872592E-2"/>
          <c:w val="0.22545101304468498"/>
          <c:h val="0.9393780035141589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6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'202602'!$A$24:$A$121</c:f>
              <c:numCache>
                <c:formatCode>yyyy\-mm</c:formatCode>
                <c:ptCount val="9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</c:numCache>
            </c:numRef>
          </c:cat>
          <c:val>
            <c:numRef>
              <c:f>'202602'!$G$24:$G$121</c:f>
              <c:numCache>
                <c:formatCode>General</c:formatCode>
                <c:ptCount val="98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1.794482114</c:v>
                </c:pt>
                <c:pt idx="25">
                  <c:v>1.689097203</c:v>
                </c:pt>
                <c:pt idx="26">
                  <c:v>1.1662090439999999</c:v>
                </c:pt>
                <c:pt idx="27">
                  <c:v>0.46246130000000002</c:v>
                </c:pt>
                <c:pt idx="28">
                  <c:v>0.49016290400000001</c:v>
                </c:pt>
                <c:pt idx="29">
                  <c:v>0.75953770600000003</c:v>
                </c:pt>
                <c:pt idx="30">
                  <c:v>0.92258400699999998</c:v>
                </c:pt>
                <c:pt idx="31">
                  <c:v>1.157519051</c:v>
                </c:pt>
                <c:pt idx="32">
                  <c:v>1.276353716</c:v>
                </c:pt>
                <c:pt idx="33">
                  <c:v>1.1874861670000001</c:v>
                </c:pt>
                <c:pt idx="34">
                  <c:v>1.1862647079999999</c:v>
                </c:pt>
                <c:pt idx="35">
                  <c:v>1.334522132</c:v>
                </c:pt>
                <c:pt idx="36">
                  <c:v>1.5857976840000001</c:v>
                </c:pt>
                <c:pt idx="37">
                  <c:v>1.8427318720000001</c:v>
                </c:pt>
                <c:pt idx="38">
                  <c:v>2.6690067229999999</c:v>
                </c:pt>
                <c:pt idx="39">
                  <c:v>3.6402858299999998</c:v>
                </c:pt>
                <c:pt idx="40">
                  <c:v>4.0724634890000004</c:v>
                </c:pt>
                <c:pt idx="41">
                  <c:v>4.3061283210000001</c:v>
                </c:pt>
                <c:pt idx="42">
                  <c:v>4.4732161640000001</c:v>
                </c:pt>
                <c:pt idx="43">
                  <c:v>4.5809096980000001</c:v>
                </c:pt>
                <c:pt idx="44">
                  <c:v>4.737428253</c:v>
                </c:pt>
                <c:pt idx="45">
                  <c:v>5.3361356530000004</c:v>
                </c:pt>
                <c:pt idx="46">
                  <c:v>5.9301905789999996</c:v>
                </c:pt>
                <c:pt idx="47">
                  <c:v>6.141969177</c:v>
                </c:pt>
                <c:pt idx="48">
                  <c:v>6.2724335120000001</c:v>
                </c:pt>
                <c:pt idx="49">
                  <c:v>6.5455399060000001</c:v>
                </c:pt>
                <c:pt idx="50">
                  <c:v>6.9264109700000001</c:v>
                </c:pt>
                <c:pt idx="51">
                  <c:v>6.6847553380000004</c:v>
                </c:pt>
                <c:pt idx="52">
                  <c:v>6.7945458749999998</c:v>
                </c:pt>
                <c:pt idx="53">
                  <c:v>7.2434718650000001</c:v>
                </c:pt>
                <c:pt idx="54">
                  <c:v>6.7502013620000003</c:v>
                </c:pt>
                <c:pt idx="55">
                  <c:v>6.6396775899999998</c:v>
                </c:pt>
                <c:pt idx="56">
                  <c:v>6.6679390009999997</c:v>
                </c:pt>
                <c:pt idx="57">
                  <c:v>6.4616023550000001</c:v>
                </c:pt>
                <c:pt idx="58">
                  <c:v>6.0304932740000003</c:v>
                </c:pt>
                <c:pt idx="59">
                  <c:v>5.5200506279999999</c:v>
                </c:pt>
                <c:pt idx="60">
                  <c:v>5.5077345859999998</c:v>
                </c:pt>
                <c:pt idx="61">
                  <c:v>5.1978038440000001</c:v>
                </c:pt>
                <c:pt idx="62">
                  <c:v>4.4282731569999996</c:v>
                </c:pt>
                <c:pt idx="63">
                  <c:v>4.4760129600000003</c:v>
                </c:pt>
                <c:pt idx="64">
                  <c:v>4.0034624540000001</c:v>
                </c:pt>
                <c:pt idx="65">
                  <c:v>3.28452134</c:v>
                </c:pt>
                <c:pt idx="66">
                  <c:v>3.4090421929999999</c:v>
                </c:pt>
                <c:pt idx="67">
                  <c:v>3.4320599199999999</c:v>
                </c:pt>
                <c:pt idx="68">
                  <c:v>3.4488928269999999</c:v>
                </c:pt>
                <c:pt idx="69">
                  <c:v>3.0232617309999998</c:v>
                </c:pt>
                <c:pt idx="70">
                  <c:v>2.7650899990000002</c:v>
                </c:pt>
                <c:pt idx="71">
                  <c:v>2.767265847</c:v>
                </c:pt>
                <c:pt idx="72">
                  <c:v>2.698751449</c:v>
                </c:pt>
                <c:pt idx="73">
                  <c:v>2.7050574269999998</c:v>
                </c:pt>
                <c:pt idx="74">
                  <c:v>2.927939233</c:v>
                </c:pt>
                <c:pt idx="75">
                  <c:v>2.826154013</c:v>
                </c:pt>
                <c:pt idx="76">
                  <c:v>2.661672909</c:v>
                </c:pt>
                <c:pt idx="77">
                  <c:v>2.5483734400000002</c:v>
                </c:pt>
                <c:pt idx="78">
                  <c:v>2.5943767769999999</c:v>
                </c:pt>
                <c:pt idx="79">
                  <c:v>2.412994957</c:v>
                </c:pt>
                <c:pt idx="80">
                  <c:v>2.260766437</c:v>
                </c:pt>
                <c:pt idx="81">
                  <c:v>2.4776925360000002</c:v>
                </c:pt>
                <c:pt idx="82">
                  <c:v>2.5878034130000001</c:v>
                </c:pt>
                <c:pt idx="83">
                  <c:v>2.7280946899999998</c:v>
                </c:pt>
                <c:pt idx="84">
                  <c:v>2.6073795299999998</c:v>
                </c:pt>
                <c:pt idx="85">
                  <c:v>2.7104846729999998</c:v>
                </c:pt>
                <c:pt idx="86">
                  <c:v>2.3594336710000001</c:v>
                </c:pt>
                <c:pt idx="87">
                  <c:v>2.277425998</c:v>
                </c:pt>
                <c:pt idx="88">
                  <c:v>2.4580860649999998</c:v>
                </c:pt>
                <c:pt idx="89">
                  <c:v>2.5935129799999999</c:v>
                </c:pt>
                <c:pt idx="90">
                  <c:v>2.605547294</c:v>
                </c:pt>
                <c:pt idx="91">
                  <c:v>2.747620854</c:v>
                </c:pt>
                <c:pt idx="92">
                  <c:v>2.7874424150000001</c:v>
                </c:pt>
                <c:pt idx="93">
                  <c:v>2.712580526</c:v>
                </c:pt>
                <c:pt idx="94">
                  <c:v>2.820189831</c:v>
                </c:pt>
                <c:pt idx="95">
                  <c:v>2.878083518</c:v>
                </c:pt>
                <c:pt idx="96">
                  <c:v>2.8289625809999999</c:v>
                </c:pt>
                <c:pt idx="97">
                  <c:v>2.8017566569999999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6-49E2-89F2-F869FD7A4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C6-49E2-89F2-F869FD7A4F8C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C6-49E2-89F2-F869FD7A4F8C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C6-49E2-89F2-F869FD7A4F8C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C6-49E2-89F2-F869FD7A4F8C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9C6-49E2-89F2-F869FD7A4F8C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9C6-49E2-89F2-F869FD7A4F8C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9C6-49E2-89F2-F869FD7A4F8C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9C6-49E2-89F2-F869FD7A4F8C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9C6-49E2-89F2-F869FD7A4F8C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9C6-49E2-89F2-F869FD7A4F8C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9C6-49E2-89F2-F869FD7A4F8C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9C6-49E2-89F2-F869FD7A4F8C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9C6-49E2-89F2-F869FD7A4F8C}"/>
            </c:ext>
          </c:extLst>
        </c:ser>
        <c:ser>
          <c:idx val="14"/>
          <c:order val="13"/>
          <c:tx>
            <c:strRef>
              <c:f>'202507'!$A$105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'202507'!$E$105:$E$109</c:f>
              <c:numCache>
                <c:formatCode>General</c:formatCode>
                <c:ptCount val="5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</c:numCache>
            </c:numRef>
          </c:xVal>
          <c:yVal>
            <c:numRef>
              <c:f>'202507'!$H$105:$H$109</c:f>
              <c:numCache>
                <c:formatCode>General</c:formatCode>
                <c:ptCount val="5"/>
                <c:pt idx="0">
                  <c:v>2.3741024982000001</c:v>
                </c:pt>
                <c:pt idx="1">
                  <c:v>2.4509154302999998</c:v>
                </c:pt>
                <c:pt idx="2">
                  <c:v>2.5277283624</c:v>
                </c:pt>
                <c:pt idx="3">
                  <c:v>2.6045412945000002</c:v>
                </c:pt>
                <c:pt idx="4">
                  <c:v>2.6813542265999999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9C6-49E2-89F2-F869FD7A4F8C}"/>
            </c:ext>
          </c:extLst>
        </c:ser>
        <c:ser>
          <c:idx val="15"/>
          <c:order val="14"/>
          <c:tx>
            <c:strRef>
              <c:f>'202602'!$A$110</c:f>
              <c:strCache>
                <c:ptCount val="1"/>
                <c:pt idx="0">
                  <c:v>2025-03</c:v>
                </c:pt>
              </c:strCache>
            </c:strRef>
          </c:tx>
          <c:marker>
            <c:symbol val="none"/>
          </c:marker>
          <c:xVal>
            <c:numRef>
              <c:f>'202602'!$E$110:$E$116</c:f>
              <c:numCache>
                <c:formatCode>General</c:formatCode>
                <c:ptCount val="7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  <c:pt idx="5">
                  <c:v>92</c:v>
                </c:pt>
                <c:pt idx="6">
                  <c:v>93</c:v>
                </c:pt>
              </c:numCache>
            </c:numRef>
          </c:xVal>
          <c:yVal>
            <c:numRef>
              <c:f>'202602'!$H$110:$H$116</c:f>
              <c:numCache>
                <c:formatCode>General</c:formatCode>
                <c:ptCount val="7"/>
                <c:pt idx="0">
                  <c:v>2.2928801995999999</c:v>
                </c:pt>
                <c:pt idx="1">
                  <c:v>2.3775900985999998</c:v>
                </c:pt>
                <c:pt idx="2">
                  <c:v>2.4622999977000002</c:v>
                </c:pt>
                <c:pt idx="3">
                  <c:v>2.5470098967000001</c:v>
                </c:pt>
                <c:pt idx="4">
                  <c:v>2.6317197958</c:v>
                </c:pt>
                <c:pt idx="5">
                  <c:v>2.7164296948</c:v>
                </c:pt>
                <c:pt idx="6">
                  <c:v>2.8011395937999999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9C6-49E2-89F2-F869FD7A4F8C}"/>
            </c:ext>
          </c:extLst>
        </c:ser>
        <c:ser>
          <c:idx val="16"/>
          <c:order val="15"/>
          <c:tx>
            <c:strRef>
              <c:f>'202602'!$A$117</c:f>
              <c:strCache>
                <c:ptCount val="1"/>
                <c:pt idx="0">
                  <c:v>2025-10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xVal>
            <c:numRef>
              <c:f>'202602'!$E$117:$E$121</c:f>
              <c:numCache>
                <c:formatCode>General</c:formatCode>
                <c:ptCount val="5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</c:numCache>
            </c:numRef>
          </c:xVal>
          <c:yVal>
            <c:numRef>
              <c:f>'202602'!$H$117:$H$121</c:f>
              <c:numCache>
                <c:formatCode>General</c:formatCode>
                <c:ptCount val="5"/>
                <c:pt idx="0">
                  <c:v>2.7708896202000002</c:v>
                </c:pt>
                <c:pt idx="1">
                  <c:v>2.7896021214000002</c:v>
                </c:pt>
                <c:pt idx="2">
                  <c:v>2.8083146226000002</c:v>
                </c:pt>
                <c:pt idx="3">
                  <c:v>2.8270271238000002</c:v>
                </c:pt>
                <c:pt idx="4">
                  <c:v>2.8457396250000002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9C6-49E2-89F2-F869FD7A4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663237765554092"/>
          <c:y val="3.78050526872592E-2"/>
          <c:w val="0.22545101304468498"/>
          <c:h val="0.9393780035141589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5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'202512'!$A$24:$A$119</c:f>
              <c:numCache>
                <c:formatCode>yyyy\-mm</c:formatCode>
                <c:ptCount val="96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</c:numCache>
            </c:numRef>
          </c:cat>
          <c:val>
            <c:numRef>
              <c:f>'202512'!$G$24:$G$119</c:f>
              <c:numCache>
                <c:formatCode>General</c:formatCode>
                <c:ptCount val="96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1.794482114</c:v>
                </c:pt>
                <c:pt idx="25">
                  <c:v>1.689097203</c:v>
                </c:pt>
                <c:pt idx="26">
                  <c:v>1.1662090439999999</c:v>
                </c:pt>
                <c:pt idx="27">
                  <c:v>0.46246130000000002</c:v>
                </c:pt>
                <c:pt idx="28">
                  <c:v>0.49016290400000001</c:v>
                </c:pt>
                <c:pt idx="29">
                  <c:v>0.75953770600000003</c:v>
                </c:pt>
                <c:pt idx="30">
                  <c:v>0.92258400699999998</c:v>
                </c:pt>
                <c:pt idx="31">
                  <c:v>1.157519051</c:v>
                </c:pt>
                <c:pt idx="32">
                  <c:v>1.276353716</c:v>
                </c:pt>
                <c:pt idx="33">
                  <c:v>1.1874861670000001</c:v>
                </c:pt>
                <c:pt idx="34">
                  <c:v>1.1862647079999999</c:v>
                </c:pt>
                <c:pt idx="35">
                  <c:v>1.334522132</c:v>
                </c:pt>
                <c:pt idx="36">
                  <c:v>1.5857976840000001</c:v>
                </c:pt>
                <c:pt idx="37">
                  <c:v>1.8427318720000001</c:v>
                </c:pt>
                <c:pt idx="38">
                  <c:v>2.6690067229999999</c:v>
                </c:pt>
                <c:pt idx="39">
                  <c:v>3.6402858299999998</c:v>
                </c:pt>
                <c:pt idx="40">
                  <c:v>4.0724634890000004</c:v>
                </c:pt>
                <c:pt idx="41">
                  <c:v>4.3061283210000001</c:v>
                </c:pt>
                <c:pt idx="42">
                  <c:v>4.4732161640000001</c:v>
                </c:pt>
                <c:pt idx="43">
                  <c:v>4.5809096980000001</c:v>
                </c:pt>
                <c:pt idx="44">
                  <c:v>4.737428253</c:v>
                </c:pt>
                <c:pt idx="45">
                  <c:v>5.3361356530000004</c:v>
                </c:pt>
                <c:pt idx="46">
                  <c:v>5.9301905789999996</c:v>
                </c:pt>
                <c:pt idx="47">
                  <c:v>6.141969177</c:v>
                </c:pt>
                <c:pt idx="48">
                  <c:v>6.2724335120000001</c:v>
                </c:pt>
                <c:pt idx="49">
                  <c:v>6.5455399060000001</c:v>
                </c:pt>
                <c:pt idx="50">
                  <c:v>6.9264109700000001</c:v>
                </c:pt>
                <c:pt idx="51">
                  <c:v>6.6847553380000004</c:v>
                </c:pt>
                <c:pt idx="52">
                  <c:v>6.7945458749999998</c:v>
                </c:pt>
                <c:pt idx="53">
                  <c:v>7.2434718650000001</c:v>
                </c:pt>
                <c:pt idx="54">
                  <c:v>6.7502013620000003</c:v>
                </c:pt>
                <c:pt idx="55">
                  <c:v>6.6396775899999998</c:v>
                </c:pt>
                <c:pt idx="56">
                  <c:v>6.6679390009999997</c:v>
                </c:pt>
                <c:pt idx="57">
                  <c:v>6.4616023550000001</c:v>
                </c:pt>
                <c:pt idx="58">
                  <c:v>6.0304932740000003</c:v>
                </c:pt>
                <c:pt idx="59">
                  <c:v>5.5200506279999999</c:v>
                </c:pt>
                <c:pt idx="60">
                  <c:v>5.5077345859999998</c:v>
                </c:pt>
                <c:pt idx="61">
                  <c:v>5.1978038440000001</c:v>
                </c:pt>
                <c:pt idx="62">
                  <c:v>4.4282731569999996</c:v>
                </c:pt>
                <c:pt idx="63">
                  <c:v>4.4760129600000003</c:v>
                </c:pt>
                <c:pt idx="64">
                  <c:v>4.0034624540000001</c:v>
                </c:pt>
                <c:pt idx="65">
                  <c:v>3.28452134</c:v>
                </c:pt>
                <c:pt idx="66">
                  <c:v>3.4090421929999999</c:v>
                </c:pt>
                <c:pt idx="67">
                  <c:v>3.4320599199999999</c:v>
                </c:pt>
                <c:pt idx="68">
                  <c:v>3.4488928269999999</c:v>
                </c:pt>
                <c:pt idx="69">
                  <c:v>3.0232617309999998</c:v>
                </c:pt>
                <c:pt idx="70">
                  <c:v>2.7650899990000002</c:v>
                </c:pt>
                <c:pt idx="71">
                  <c:v>2.767265847</c:v>
                </c:pt>
                <c:pt idx="72">
                  <c:v>2.698751449</c:v>
                </c:pt>
                <c:pt idx="73">
                  <c:v>2.7050574269999998</c:v>
                </c:pt>
                <c:pt idx="74">
                  <c:v>2.927939233</c:v>
                </c:pt>
                <c:pt idx="75">
                  <c:v>2.826154013</c:v>
                </c:pt>
                <c:pt idx="76">
                  <c:v>2.661672909</c:v>
                </c:pt>
                <c:pt idx="77">
                  <c:v>2.5483734400000002</c:v>
                </c:pt>
                <c:pt idx="78">
                  <c:v>2.5943767769999999</c:v>
                </c:pt>
                <c:pt idx="79">
                  <c:v>2.412994957</c:v>
                </c:pt>
                <c:pt idx="80">
                  <c:v>2.260766437</c:v>
                </c:pt>
                <c:pt idx="81">
                  <c:v>2.4776925360000002</c:v>
                </c:pt>
                <c:pt idx="82">
                  <c:v>2.5878034130000001</c:v>
                </c:pt>
                <c:pt idx="83">
                  <c:v>2.7280946899999998</c:v>
                </c:pt>
                <c:pt idx="84">
                  <c:v>2.6073795299999998</c:v>
                </c:pt>
                <c:pt idx="85">
                  <c:v>2.7104846729999998</c:v>
                </c:pt>
                <c:pt idx="86">
                  <c:v>2.3594336710000001</c:v>
                </c:pt>
                <c:pt idx="87">
                  <c:v>2.277425998</c:v>
                </c:pt>
                <c:pt idx="88">
                  <c:v>2.4580860649999998</c:v>
                </c:pt>
                <c:pt idx="89">
                  <c:v>2.5935129799999999</c:v>
                </c:pt>
                <c:pt idx="90">
                  <c:v>2.605547294</c:v>
                </c:pt>
                <c:pt idx="91">
                  <c:v>2.747620854</c:v>
                </c:pt>
                <c:pt idx="92">
                  <c:v>2.7874424150000001</c:v>
                </c:pt>
                <c:pt idx="93">
                  <c:v>2.7190065379999999</c:v>
                </c:pt>
                <c:pt idx="94">
                  <c:v>2.8177828410000001</c:v>
                </c:pt>
                <c:pt idx="95">
                  <c:v>2.9012874160000002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7-4703-A0B9-E7178A32D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77-4703-A0B9-E7178A32D335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77-4703-A0B9-E7178A32D335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77-4703-A0B9-E7178A32D335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77-4703-A0B9-E7178A32D335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177-4703-A0B9-E7178A32D335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177-4703-A0B9-E7178A32D335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177-4703-A0B9-E7178A32D335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177-4703-A0B9-E7178A32D335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177-4703-A0B9-E7178A32D335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177-4703-A0B9-E7178A32D335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177-4703-A0B9-E7178A32D335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177-4703-A0B9-E7178A32D335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177-4703-A0B9-E7178A32D335}"/>
            </c:ext>
          </c:extLst>
        </c:ser>
        <c:ser>
          <c:idx val="14"/>
          <c:order val="13"/>
          <c:tx>
            <c:strRef>
              <c:f>'202507'!$A$105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'202507'!$E$105:$E$109</c:f>
              <c:numCache>
                <c:formatCode>General</c:formatCode>
                <c:ptCount val="5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</c:numCache>
            </c:numRef>
          </c:xVal>
          <c:yVal>
            <c:numRef>
              <c:f>'202507'!$H$105:$H$109</c:f>
              <c:numCache>
                <c:formatCode>General</c:formatCode>
                <c:ptCount val="5"/>
                <c:pt idx="0">
                  <c:v>2.3741024982000001</c:v>
                </c:pt>
                <c:pt idx="1">
                  <c:v>2.4509154302999998</c:v>
                </c:pt>
                <c:pt idx="2">
                  <c:v>2.5277283624</c:v>
                </c:pt>
                <c:pt idx="3">
                  <c:v>2.6045412945000002</c:v>
                </c:pt>
                <c:pt idx="4">
                  <c:v>2.6813542265999999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177-4703-A0B9-E7178A32D335}"/>
            </c:ext>
          </c:extLst>
        </c:ser>
        <c:ser>
          <c:idx val="15"/>
          <c:order val="14"/>
          <c:tx>
            <c:strRef>
              <c:f>'202512'!$A$110</c:f>
              <c:strCache>
                <c:ptCount val="1"/>
                <c:pt idx="0">
                  <c:v>2025-03</c:v>
                </c:pt>
              </c:strCache>
            </c:strRef>
          </c:tx>
          <c:marker>
            <c:symbol val="none"/>
          </c:marker>
          <c:xVal>
            <c:numRef>
              <c:f>'202512'!$E$110:$E$119</c:f>
              <c:numCache>
                <c:formatCode>General</c:formatCode>
                <c:ptCount val="10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  <c:pt idx="5">
                  <c:v>92</c:v>
                </c:pt>
                <c:pt idx="6">
                  <c:v>93</c:v>
                </c:pt>
                <c:pt idx="7">
                  <c:v>94</c:v>
                </c:pt>
                <c:pt idx="8">
                  <c:v>95</c:v>
                </c:pt>
                <c:pt idx="9">
                  <c:v>96</c:v>
                </c:pt>
              </c:numCache>
            </c:numRef>
          </c:xVal>
          <c:yVal>
            <c:numRef>
              <c:f>'202512'!$H$110:$H$119</c:f>
              <c:numCache>
                <c:formatCode>General</c:formatCode>
                <c:ptCount val="10"/>
                <c:pt idx="0">
                  <c:v>2.3352333570999999</c:v>
                </c:pt>
                <c:pt idx="1">
                  <c:v>2.4000069683</c:v>
                </c:pt>
                <c:pt idx="2">
                  <c:v>2.4647805794000002</c:v>
                </c:pt>
                <c:pt idx="3">
                  <c:v>2.5295541904999999</c:v>
                </c:pt>
                <c:pt idx="4">
                  <c:v>2.5943278016</c:v>
                </c:pt>
                <c:pt idx="5">
                  <c:v>2.6591014128000001</c:v>
                </c:pt>
                <c:pt idx="6">
                  <c:v>2.7238750238999998</c:v>
                </c:pt>
                <c:pt idx="7">
                  <c:v>2.7886486349999999</c:v>
                </c:pt>
                <c:pt idx="8">
                  <c:v>2.8534222461000001</c:v>
                </c:pt>
                <c:pt idx="9">
                  <c:v>2.9181958573000002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177-4703-A0B9-E7178A32D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663237765554092"/>
          <c:y val="3.78050526872592E-2"/>
          <c:w val="0.22693599603130374"/>
          <c:h val="0.93732891800466067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5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'202511'!$A$24:$A$118</c:f>
              <c:numCache>
                <c:formatCode>yyyy\-mm</c:formatCode>
                <c:ptCount val="9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</c:numCache>
            </c:numRef>
          </c:cat>
          <c:val>
            <c:numRef>
              <c:f>'202511'!$G$24:$G$118</c:f>
              <c:numCache>
                <c:formatCode>General</c:formatCode>
                <c:ptCount val="95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1.794482114</c:v>
                </c:pt>
                <c:pt idx="25">
                  <c:v>1.689097203</c:v>
                </c:pt>
                <c:pt idx="26">
                  <c:v>1.1662090439999999</c:v>
                </c:pt>
                <c:pt idx="27">
                  <c:v>0.46246130000000002</c:v>
                </c:pt>
                <c:pt idx="28">
                  <c:v>0.49016290400000001</c:v>
                </c:pt>
                <c:pt idx="29">
                  <c:v>0.75953770600000003</c:v>
                </c:pt>
                <c:pt idx="30">
                  <c:v>0.92258400699999998</c:v>
                </c:pt>
                <c:pt idx="31">
                  <c:v>1.157519051</c:v>
                </c:pt>
                <c:pt idx="32">
                  <c:v>1.276353716</c:v>
                </c:pt>
                <c:pt idx="33">
                  <c:v>1.1874861670000001</c:v>
                </c:pt>
                <c:pt idx="34">
                  <c:v>1.1862647079999999</c:v>
                </c:pt>
                <c:pt idx="35">
                  <c:v>1.334522132</c:v>
                </c:pt>
                <c:pt idx="36">
                  <c:v>1.5857976840000001</c:v>
                </c:pt>
                <c:pt idx="37">
                  <c:v>1.8427318720000001</c:v>
                </c:pt>
                <c:pt idx="38">
                  <c:v>2.6690067229999999</c:v>
                </c:pt>
                <c:pt idx="39">
                  <c:v>3.6402858299999998</c:v>
                </c:pt>
                <c:pt idx="40">
                  <c:v>4.0724634890000004</c:v>
                </c:pt>
                <c:pt idx="41">
                  <c:v>4.3061283210000001</c:v>
                </c:pt>
                <c:pt idx="42">
                  <c:v>4.4732161640000001</c:v>
                </c:pt>
                <c:pt idx="43">
                  <c:v>4.5809096980000001</c:v>
                </c:pt>
                <c:pt idx="44">
                  <c:v>4.737428253</c:v>
                </c:pt>
                <c:pt idx="45">
                  <c:v>5.3361356530000004</c:v>
                </c:pt>
                <c:pt idx="46">
                  <c:v>5.9301905789999996</c:v>
                </c:pt>
                <c:pt idx="47">
                  <c:v>6.141969177</c:v>
                </c:pt>
                <c:pt idx="48">
                  <c:v>6.2724335120000001</c:v>
                </c:pt>
                <c:pt idx="49">
                  <c:v>6.5455399060000001</c:v>
                </c:pt>
                <c:pt idx="50">
                  <c:v>6.9264109700000001</c:v>
                </c:pt>
                <c:pt idx="51">
                  <c:v>6.6847553380000004</c:v>
                </c:pt>
                <c:pt idx="52">
                  <c:v>6.7945458749999998</c:v>
                </c:pt>
                <c:pt idx="53">
                  <c:v>7.2434718650000001</c:v>
                </c:pt>
                <c:pt idx="54">
                  <c:v>6.7502013620000003</c:v>
                </c:pt>
                <c:pt idx="55">
                  <c:v>6.6396775899999998</c:v>
                </c:pt>
                <c:pt idx="56">
                  <c:v>6.6679390009999997</c:v>
                </c:pt>
                <c:pt idx="57">
                  <c:v>6.4616023550000001</c:v>
                </c:pt>
                <c:pt idx="58">
                  <c:v>6.0304932740000003</c:v>
                </c:pt>
                <c:pt idx="59">
                  <c:v>5.5200506279999999</c:v>
                </c:pt>
                <c:pt idx="60">
                  <c:v>5.5077345859999998</c:v>
                </c:pt>
                <c:pt idx="61">
                  <c:v>5.1978038440000001</c:v>
                </c:pt>
                <c:pt idx="62">
                  <c:v>4.4282731569999996</c:v>
                </c:pt>
                <c:pt idx="63">
                  <c:v>4.4760129600000003</c:v>
                </c:pt>
                <c:pt idx="64">
                  <c:v>4.0034624540000001</c:v>
                </c:pt>
                <c:pt idx="65">
                  <c:v>3.28452134</c:v>
                </c:pt>
                <c:pt idx="66">
                  <c:v>3.4090421929999999</c:v>
                </c:pt>
                <c:pt idx="67">
                  <c:v>3.4320599199999999</c:v>
                </c:pt>
                <c:pt idx="68">
                  <c:v>3.4488928269999999</c:v>
                </c:pt>
                <c:pt idx="69">
                  <c:v>3.0232617309999998</c:v>
                </c:pt>
                <c:pt idx="70">
                  <c:v>2.7650899990000002</c:v>
                </c:pt>
                <c:pt idx="71">
                  <c:v>2.767265847</c:v>
                </c:pt>
                <c:pt idx="72">
                  <c:v>2.698751449</c:v>
                </c:pt>
                <c:pt idx="73">
                  <c:v>2.7050574269999998</c:v>
                </c:pt>
                <c:pt idx="74">
                  <c:v>2.927939233</c:v>
                </c:pt>
                <c:pt idx="75">
                  <c:v>2.826154013</c:v>
                </c:pt>
                <c:pt idx="76">
                  <c:v>2.661672909</c:v>
                </c:pt>
                <c:pt idx="77">
                  <c:v>2.5483734400000002</c:v>
                </c:pt>
                <c:pt idx="78">
                  <c:v>2.5943767769999999</c:v>
                </c:pt>
                <c:pt idx="79">
                  <c:v>2.412994957</c:v>
                </c:pt>
                <c:pt idx="80">
                  <c:v>2.260766437</c:v>
                </c:pt>
                <c:pt idx="81">
                  <c:v>2.4776925360000002</c:v>
                </c:pt>
                <c:pt idx="82">
                  <c:v>2.5878034130000001</c:v>
                </c:pt>
                <c:pt idx="83">
                  <c:v>2.7280946899999998</c:v>
                </c:pt>
                <c:pt idx="84">
                  <c:v>2.6073795299999998</c:v>
                </c:pt>
                <c:pt idx="85">
                  <c:v>2.7104846729999998</c:v>
                </c:pt>
                <c:pt idx="86">
                  <c:v>2.3594336710000001</c:v>
                </c:pt>
                <c:pt idx="87">
                  <c:v>2.277425998</c:v>
                </c:pt>
                <c:pt idx="88">
                  <c:v>2.4580860649999998</c:v>
                </c:pt>
                <c:pt idx="89">
                  <c:v>2.5935129799999999</c:v>
                </c:pt>
                <c:pt idx="90">
                  <c:v>2.605547294</c:v>
                </c:pt>
                <c:pt idx="91">
                  <c:v>2.747620854</c:v>
                </c:pt>
                <c:pt idx="92">
                  <c:v>2.7874424150000001</c:v>
                </c:pt>
                <c:pt idx="93">
                  <c:v>2.6780407089999998</c:v>
                </c:pt>
                <c:pt idx="94">
                  <c:v>2.7728523630000002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A-48E4-B5C0-1B611FF46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DA-48E4-B5C0-1B611FF460BE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DA-48E4-B5C0-1B611FF460BE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DA-48E4-B5C0-1B611FF460BE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DA-48E4-B5C0-1B611FF460BE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DA-48E4-B5C0-1B611FF460BE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EDA-48E4-B5C0-1B611FF460BE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EDA-48E4-B5C0-1B611FF460BE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EDA-48E4-B5C0-1B611FF460BE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EDA-48E4-B5C0-1B611FF460BE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EDA-48E4-B5C0-1B611FF460BE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EDA-48E4-B5C0-1B611FF460BE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EDA-48E4-B5C0-1B611FF460BE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EDA-48E4-B5C0-1B611FF460BE}"/>
            </c:ext>
          </c:extLst>
        </c:ser>
        <c:ser>
          <c:idx val="14"/>
          <c:order val="13"/>
          <c:tx>
            <c:strRef>
              <c:f>'202507'!$A$105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'202507'!$E$105:$E$109</c:f>
              <c:numCache>
                <c:formatCode>General</c:formatCode>
                <c:ptCount val="5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</c:numCache>
            </c:numRef>
          </c:xVal>
          <c:yVal>
            <c:numRef>
              <c:f>'202507'!$H$105:$H$109</c:f>
              <c:numCache>
                <c:formatCode>General</c:formatCode>
                <c:ptCount val="5"/>
                <c:pt idx="0">
                  <c:v>2.3741024982000001</c:v>
                </c:pt>
                <c:pt idx="1">
                  <c:v>2.4509154302999998</c:v>
                </c:pt>
                <c:pt idx="2">
                  <c:v>2.5277283624</c:v>
                </c:pt>
                <c:pt idx="3">
                  <c:v>2.6045412945000002</c:v>
                </c:pt>
                <c:pt idx="4">
                  <c:v>2.6813542265999999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EDA-48E4-B5C0-1B611FF460BE}"/>
            </c:ext>
          </c:extLst>
        </c:ser>
        <c:ser>
          <c:idx val="15"/>
          <c:order val="14"/>
          <c:tx>
            <c:strRef>
              <c:f>'202511'!$A$110</c:f>
              <c:strCache>
                <c:ptCount val="1"/>
                <c:pt idx="0">
                  <c:v>2025-03</c:v>
                </c:pt>
              </c:strCache>
            </c:strRef>
          </c:tx>
          <c:marker>
            <c:symbol val="none"/>
          </c:marker>
          <c:xVal>
            <c:numRef>
              <c:f>'202511'!$E$110:$E$118</c:f>
              <c:numCache>
                <c:formatCode>General</c:formatCode>
                <c:ptCount val="9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  <c:pt idx="5">
                  <c:v>92</c:v>
                </c:pt>
                <c:pt idx="6">
                  <c:v>93</c:v>
                </c:pt>
                <c:pt idx="7">
                  <c:v>94</c:v>
                </c:pt>
                <c:pt idx="8">
                  <c:v>95</c:v>
                </c:pt>
              </c:numCache>
            </c:numRef>
          </c:xVal>
          <c:yVal>
            <c:numRef>
              <c:f>'202511'!$H$110:$H$118</c:f>
              <c:numCache>
                <c:formatCode>General</c:formatCode>
                <c:ptCount val="9"/>
                <c:pt idx="0">
                  <c:v>2.3421065182</c:v>
                </c:pt>
                <c:pt idx="1">
                  <c:v>2.4032455095</c:v>
                </c:pt>
                <c:pt idx="2">
                  <c:v>2.4643845007</c:v>
                </c:pt>
                <c:pt idx="3">
                  <c:v>2.525523492</c:v>
                </c:pt>
                <c:pt idx="4">
                  <c:v>2.5866624832</c:v>
                </c:pt>
                <c:pt idx="5">
                  <c:v>2.6478014745</c:v>
                </c:pt>
                <c:pt idx="6">
                  <c:v>2.7089404657</c:v>
                </c:pt>
                <c:pt idx="7">
                  <c:v>2.770079457</c:v>
                </c:pt>
                <c:pt idx="8">
                  <c:v>2.8312184482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EDA-48E4-B5C0-1B611FF46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663237765554092"/>
          <c:y val="3.78050526872592E-2"/>
          <c:w val="0.22693599603130374"/>
          <c:h val="0.93732891800466067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5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'202509'!$A$24:$A$116</c:f>
              <c:numCache>
                <c:formatCode>yyyy\-mm</c:formatCode>
                <c:ptCount val="93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</c:numCache>
            </c:numRef>
          </c:cat>
          <c:val>
            <c:numRef>
              <c:f>'202509'!$G$24:$G$116</c:f>
              <c:numCache>
                <c:formatCode>General</c:formatCode>
                <c:ptCount val="93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1.794482114</c:v>
                </c:pt>
                <c:pt idx="25">
                  <c:v>1.689097203</c:v>
                </c:pt>
                <c:pt idx="26">
                  <c:v>1.1662090439999999</c:v>
                </c:pt>
                <c:pt idx="27">
                  <c:v>0.46246130000000002</c:v>
                </c:pt>
                <c:pt idx="28">
                  <c:v>0.49016290400000001</c:v>
                </c:pt>
                <c:pt idx="29">
                  <c:v>0.75953770600000003</c:v>
                </c:pt>
                <c:pt idx="30">
                  <c:v>0.92258400699999998</c:v>
                </c:pt>
                <c:pt idx="31">
                  <c:v>1.157519051</c:v>
                </c:pt>
                <c:pt idx="32">
                  <c:v>1.276353716</c:v>
                </c:pt>
                <c:pt idx="33">
                  <c:v>1.1874861670000001</c:v>
                </c:pt>
                <c:pt idx="34">
                  <c:v>1.1862647079999999</c:v>
                </c:pt>
                <c:pt idx="35">
                  <c:v>1.334522132</c:v>
                </c:pt>
                <c:pt idx="36">
                  <c:v>1.5857976840000001</c:v>
                </c:pt>
                <c:pt idx="37">
                  <c:v>1.8427318720000001</c:v>
                </c:pt>
                <c:pt idx="38">
                  <c:v>2.6690067229999999</c:v>
                </c:pt>
                <c:pt idx="39">
                  <c:v>3.6402858299999998</c:v>
                </c:pt>
                <c:pt idx="40">
                  <c:v>4.0724634890000004</c:v>
                </c:pt>
                <c:pt idx="41">
                  <c:v>4.3061283210000001</c:v>
                </c:pt>
                <c:pt idx="42">
                  <c:v>4.4732161640000001</c:v>
                </c:pt>
                <c:pt idx="43">
                  <c:v>4.5809096980000001</c:v>
                </c:pt>
                <c:pt idx="44">
                  <c:v>4.737428253</c:v>
                </c:pt>
                <c:pt idx="45">
                  <c:v>5.3361356530000004</c:v>
                </c:pt>
                <c:pt idx="46">
                  <c:v>5.9301905789999996</c:v>
                </c:pt>
                <c:pt idx="47">
                  <c:v>6.141969177</c:v>
                </c:pt>
                <c:pt idx="48">
                  <c:v>6.2724335120000001</c:v>
                </c:pt>
                <c:pt idx="49">
                  <c:v>6.5455399060000001</c:v>
                </c:pt>
                <c:pt idx="50">
                  <c:v>6.9264109700000001</c:v>
                </c:pt>
                <c:pt idx="51">
                  <c:v>6.6847553380000004</c:v>
                </c:pt>
                <c:pt idx="52">
                  <c:v>6.7945458749999998</c:v>
                </c:pt>
                <c:pt idx="53">
                  <c:v>7.2434718650000001</c:v>
                </c:pt>
                <c:pt idx="54">
                  <c:v>6.7502013620000003</c:v>
                </c:pt>
                <c:pt idx="55">
                  <c:v>6.6396775899999998</c:v>
                </c:pt>
                <c:pt idx="56">
                  <c:v>6.6679390009999997</c:v>
                </c:pt>
                <c:pt idx="57">
                  <c:v>6.4616023550000001</c:v>
                </c:pt>
                <c:pt idx="58">
                  <c:v>6.0304932740000003</c:v>
                </c:pt>
                <c:pt idx="59">
                  <c:v>5.5200506279999999</c:v>
                </c:pt>
                <c:pt idx="60">
                  <c:v>5.5077345859999998</c:v>
                </c:pt>
                <c:pt idx="61">
                  <c:v>5.1978038440000001</c:v>
                </c:pt>
                <c:pt idx="62">
                  <c:v>4.4282731569999996</c:v>
                </c:pt>
                <c:pt idx="63">
                  <c:v>4.4760129600000003</c:v>
                </c:pt>
                <c:pt idx="64">
                  <c:v>4.0034624540000001</c:v>
                </c:pt>
                <c:pt idx="65">
                  <c:v>3.28452134</c:v>
                </c:pt>
                <c:pt idx="66">
                  <c:v>3.4090421929999999</c:v>
                </c:pt>
                <c:pt idx="67">
                  <c:v>3.4320599199999999</c:v>
                </c:pt>
                <c:pt idx="68">
                  <c:v>3.4488928269999999</c:v>
                </c:pt>
                <c:pt idx="69">
                  <c:v>3.0232617309999998</c:v>
                </c:pt>
                <c:pt idx="70">
                  <c:v>2.7650899990000002</c:v>
                </c:pt>
                <c:pt idx="71">
                  <c:v>2.767265847</c:v>
                </c:pt>
                <c:pt idx="72">
                  <c:v>2.698751449</c:v>
                </c:pt>
                <c:pt idx="73">
                  <c:v>2.7050574269999998</c:v>
                </c:pt>
                <c:pt idx="74">
                  <c:v>2.927939233</c:v>
                </c:pt>
                <c:pt idx="75">
                  <c:v>2.826154013</c:v>
                </c:pt>
                <c:pt idx="76">
                  <c:v>2.661672909</c:v>
                </c:pt>
                <c:pt idx="77">
                  <c:v>2.5483734400000002</c:v>
                </c:pt>
                <c:pt idx="78">
                  <c:v>2.5943767769999999</c:v>
                </c:pt>
                <c:pt idx="79">
                  <c:v>2.412994957</c:v>
                </c:pt>
                <c:pt idx="80">
                  <c:v>2.260766437</c:v>
                </c:pt>
                <c:pt idx="81">
                  <c:v>2.4776925360000002</c:v>
                </c:pt>
                <c:pt idx="82">
                  <c:v>2.5878034130000001</c:v>
                </c:pt>
                <c:pt idx="83">
                  <c:v>2.7280946899999998</c:v>
                </c:pt>
                <c:pt idx="84">
                  <c:v>2.6073795299999998</c:v>
                </c:pt>
                <c:pt idx="85">
                  <c:v>2.7104846729999998</c:v>
                </c:pt>
                <c:pt idx="86">
                  <c:v>2.3594336710000001</c:v>
                </c:pt>
                <c:pt idx="87">
                  <c:v>2.277425998</c:v>
                </c:pt>
                <c:pt idx="88">
                  <c:v>2.4580860649999998</c:v>
                </c:pt>
                <c:pt idx="89">
                  <c:v>2.5935129799999999</c:v>
                </c:pt>
                <c:pt idx="90">
                  <c:v>2.601506433</c:v>
                </c:pt>
                <c:pt idx="91">
                  <c:v>2.7395491129999998</c:v>
                </c:pt>
                <c:pt idx="92">
                  <c:v>2.7874424150000001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C-44EA-8E5F-BCA17B345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7C-44EA-8E5F-BCA17B34548D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7C-44EA-8E5F-BCA17B34548D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7C-44EA-8E5F-BCA17B34548D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7C-44EA-8E5F-BCA17B34548D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7C-44EA-8E5F-BCA17B34548D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7C-44EA-8E5F-BCA17B34548D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A7C-44EA-8E5F-BCA17B34548D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A7C-44EA-8E5F-BCA17B34548D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A7C-44EA-8E5F-BCA17B34548D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A7C-44EA-8E5F-BCA17B34548D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A7C-44EA-8E5F-BCA17B34548D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A7C-44EA-8E5F-BCA17B34548D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A7C-44EA-8E5F-BCA17B34548D}"/>
            </c:ext>
          </c:extLst>
        </c:ser>
        <c:ser>
          <c:idx val="14"/>
          <c:order val="13"/>
          <c:tx>
            <c:strRef>
              <c:f>'202507'!$A$105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'202507'!$E$105:$E$109</c:f>
              <c:numCache>
                <c:formatCode>General</c:formatCode>
                <c:ptCount val="5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</c:numCache>
            </c:numRef>
          </c:xVal>
          <c:yVal>
            <c:numRef>
              <c:f>'202507'!$H$105:$H$109</c:f>
              <c:numCache>
                <c:formatCode>General</c:formatCode>
                <c:ptCount val="5"/>
                <c:pt idx="0">
                  <c:v>2.3741024982000001</c:v>
                </c:pt>
                <c:pt idx="1">
                  <c:v>2.4509154302999998</c:v>
                </c:pt>
                <c:pt idx="2">
                  <c:v>2.5277283624</c:v>
                </c:pt>
                <c:pt idx="3">
                  <c:v>2.6045412945000002</c:v>
                </c:pt>
                <c:pt idx="4">
                  <c:v>2.6813542265999999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A7C-44EA-8E5F-BCA17B34548D}"/>
            </c:ext>
          </c:extLst>
        </c:ser>
        <c:ser>
          <c:idx val="15"/>
          <c:order val="14"/>
          <c:tx>
            <c:strRef>
              <c:f>'202507'!$A$110</c:f>
              <c:strCache>
                <c:ptCount val="1"/>
                <c:pt idx="0">
                  <c:v>2025-03</c:v>
                </c:pt>
              </c:strCache>
            </c:strRef>
          </c:tx>
          <c:marker>
            <c:symbol val="none"/>
          </c:marker>
          <c:xVal>
            <c:numRef>
              <c:f>'202509'!$E$110:$E$116</c:f>
              <c:numCache>
                <c:formatCode>General</c:formatCode>
                <c:ptCount val="7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  <c:pt idx="5">
                  <c:v>92</c:v>
                </c:pt>
                <c:pt idx="6">
                  <c:v>93</c:v>
                </c:pt>
              </c:numCache>
            </c:numRef>
          </c:xVal>
          <c:yVal>
            <c:numRef>
              <c:f>'202509'!$H$110:$H$116</c:f>
              <c:numCache>
                <c:formatCode>General</c:formatCode>
                <c:ptCount val="7"/>
                <c:pt idx="0">
                  <c:v>2.2933124360999999</c:v>
                </c:pt>
                <c:pt idx="1">
                  <c:v>2.3773014657</c:v>
                </c:pt>
                <c:pt idx="2">
                  <c:v>2.4612904954000001</c:v>
                </c:pt>
                <c:pt idx="3">
                  <c:v>2.5452795250000002</c:v>
                </c:pt>
                <c:pt idx="4">
                  <c:v>2.6292685545999999</c:v>
                </c:pt>
                <c:pt idx="5">
                  <c:v>2.7132575843</c:v>
                </c:pt>
                <c:pt idx="6">
                  <c:v>2.7972466139000001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A7C-44EA-8E5F-BCA17B345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663237765554092"/>
          <c:y val="3.78050526872592E-2"/>
          <c:w val="0.22693599603130374"/>
          <c:h val="0.93732891800466067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5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'202508'!$A$24:$A$115</c:f>
              <c:numCache>
                <c:formatCode>yyyy\-mm</c:formatCode>
                <c:ptCount val="9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</c:numCache>
            </c:numRef>
          </c:cat>
          <c:val>
            <c:numRef>
              <c:f>'202508'!$G$24:$G$115</c:f>
              <c:numCache>
                <c:formatCode>General</c:formatCode>
                <c:ptCount val="92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1.794482114</c:v>
                </c:pt>
                <c:pt idx="25">
                  <c:v>1.689097203</c:v>
                </c:pt>
                <c:pt idx="26">
                  <c:v>1.1662090439999999</c:v>
                </c:pt>
                <c:pt idx="27">
                  <c:v>0.46246130000000002</c:v>
                </c:pt>
                <c:pt idx="28">
                  <c:v>0.49016290400000001</c:v>
                </c:pt>
                <c:pt idx="29">
                  <c:v>0.75953770600000003</c:v>
                </c:pt>
                <c:pt idx="30">
                  <c:v>0.92258400699999998</c:v>
                </c:pt>
                <c:pt idx="31">
                  <c:v>1.157519051</c:v>
                </c:pt>
                <c:pt idx="32">
                  <c:v>1.276353716</c:v>
                </c:pt>
                <c:pt idx="33">
                  <c:v>1.1874861670000001</c:v>
                </c:pt>
                <c:pt idx="34">
                  <c:v>1.1862647079999999</c:v>
                </c:pt>
                <c:pt idx="35">
                  <c:v>1.334522132</c:v>
                </c:pt>
                <c:pt idx="36">
                  <c:v>1.5857976840000001</c:v>
                </c:pt>
                <c:pt idx="37">
                  <c:v>1.8427318720000001</c:v>
                </c:pt>
                <c:pt idx="38">
                  <c:v>2.6690067229999999</c:v>
                </c:pt>
                <c:pt idx="39">
                  <c:v>3.6402858299999998</c:v>
                </c:pt>
                <c:pt idx="40">
                  <c:v>4.0724634890000004</c:v>
                </c:pt>
                <c:pt idx="41">
                  <c:v>4.3061283210000001</c:v>
                </c:pt>
                <c:pt idx="42">
                  <c:v>4.4732161640000001</c:v>
                </c:pt>
                <c:pt idx="43">
                  <c:v>4.5809096980000001</c:v>
                </c:pt>
                <c:pt idx="44">
                  <c:v>4.737428253</c:v>
                </c:pt>
                <c:pt idx="45">
                  <c:v>5.3361356530000004</c:v>
                </c:pt>
                <c:pt idx="46">
                  <c:v>5.9301905789999996</c:v>
                </c:pt>
                <c:pt idx="47">
                  <c:v>6.141969177</c:v>
                </c:pt>
                <c:pt idx="48">
                  <c:v>6.2724335120000001</c:v>
                </c:pt>
                <c:pt idx="49">
                  <c:v>6.5455399060000001</c:v>
                </c:pt>
                <c:pt idx="50">
                  <c:v>6.9264109700000001</c:v>
                </c:pt>
                <c:pt idx="51">
                  <c:v>6.6847553380000004</c:v>
                </c:pt>
                <c:pt idx="52">
                  <c:v>6.7945458749999998</c:v>
                </c:pt>
                <c:pt idx="53">
                  <c:v>7.2434718650000001</c:v>
                </c:pt>
                <c:pt idx="54">
                  <c:v>6.7502013620000003</c:v>
                </c:pt>
                <c:pt idx="55">
                  <c:v>6.6396775899999998</c:v>
                </c:pt>
                <c:pt idx="56">
                  <c:v>6.6679390009999997</c:v>
                </c:pt>
                <c:pt idx="57">
                  <c:v>6.4616023550000001</c:v>
                </c:pt>
                <c:pt idx="58">
                  <c:v>6.0304932740000003</c:v>
                </c:pt>
                <c:pt idx="59">
                  <c:v>5.5200506279999999</c:v>
                </c:pt>
                <c:pt idx="60">
                  <c:v>5.5077345859999998</c:v>
                </c:pt>
                <c:pt idx="61">
                  <c:v>5.1978038440000001</c:v>
                </c:pt>
                <c:pt idx="62">
                  <c:v>4.4282731569999996</c:v>
                </c:pt>
                <c:pt idx="63">
                  <c:v>4.4760129600000003</c:v>
                </c:pt>
                <c:pt idx="64">
                  <c:v>4.0034624540000001</c:v>
                </c:pt>
                <c:pt idx="65">
                  <c:v>3.28452134</c:v>
                </c:pt>
                <c:pt idx="66">
                  <c:v>3.4090421929999999</c:v>
                </c:pt>
                <c:pt idx="67">
                  <c:v>3.4320599199999999</c:v>
                </c:pt>
                <c:pt idx="68">
                  <c:v>3.4488928269999999</c:v>
                </c:pt>
                <c:pt idx="69">
                  <c:v>3.0232617309999998</c:v>
                </c:pt>
                <c:pt idx="70">
                  <c:v>2.7650899990000002</c:v>
                </c:pt>
                <c:pt idx="71">
                  <c:v>2.767265847</c:v>
                </c:pt>
                <c:pt idx="72">
                  <c:v>2.698751449</c:v>
                </c:pt>
                <c:pt idx="73">
                  <c:v>2.7050574269999998</c:v>
                </c:pt>
                <c:pt idx="74">
                  <c:v>2.927939233</c:v>
                </c:pt>
                <c:pt idx="75">
                  <c:v>2.826154013</c:v>
                </c:pt>
                <c:pt idx="76">
                  <c:v>2.661672909</c:v>
                </c:pt>
                <c:pt idx="77">
                  <c:v>2.5483734400000002</c:v>
                </c:pt>
                <c:pt idx="78">
                  <c:v>2.5943767769999999</c:v>
                </c:pt>
                <c:pt idx="79">
                  <c:v>2.412994957</c:v>
                </c:pt>
                <c:pt idx="80">
                  <c:v>2.260766437</c:v>
                </c:pt>
                <c:pt idx="81">
                  <c:v>2.4776925360000002</c:v>
                </c:pt>
                <c:pt idx="82">
                  <c:v>2.5878034130000001</c:v>
                </c:pt>
                <c:pt idx="83">
                  <c:v>2.7280946899999998</c:v>
                </c:pt>
                <c:pt idx="84">
                  <c:v>2.6073795299999998</c:v>
                </c:pt>
                <c:pt idx="85">
                  <c:v>2.7104846729999998</c:v>
                </c:pt>
                <c:pt idx="86">
                  <c:v>2.3594336710000001</c:v>
                </c:pt>
                <c:pt idx="87">
                  <c:v>2.277425998</c:v>
                </c:pt>
                <c:pt idx="88">
                  <c:v>2.4580860649999998</c:v>
                </c:pt>
                <c:pt idx="89">
                  <c:v>2.5935129799999999</c:v>
                </c:pt>
                <c:pt idx="90">
                  <c:v>2.5966573999999998</c:v>
                </c:pt>
                <c:pt idx="91">
                  <c:v>2.7411634610000002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0-4BAE-B4F0-206317711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40-4BAE-B4F0-206317711257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40-4BAE-B4F0-206317711257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40-4BAE-B4F0-206317711257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40-4BAE-B4F0-206317711257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D40-4BAE-B4F0-206317711257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D40-4BAE-B4F0-206317711257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D40-4BAE-B4F0-206317711257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D40-4BAE-B4F0-206317711257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D40-4BAE-B4F0-206317711257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D40-4BAE-B4F0-206317711257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D40-4BAE-B4F0-206317711257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D40-4BAE-B4F0-206317711257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D40-4BAE-B4F0-206317711257}"/>
            </c:ext>
          </c:extLst>
        </c:ser>
        <c:ser>
          <c:idx val="14"/>
          <c:order val="13"/>
          <c:tx>
            <c:strRef>
              <c:f>'202507'!$A$105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'202507'!$E$105:$E$109</c:f>
              <c:numCache>
                <c:formatCode>General</c:formatCode>
                <c:ptCount val="5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</c:numCache>
            </c:numRef>
          </c:xVal>
          <c:yVal>
            <c:numRef>
              <c:f>'202507'!$H$105:$H$109</c:f>
              <c:numCache>
                <c:formatCode>General</c:formatCode>
                <c:ptCount val="5"/>
                <c:pt idx="0">
                  <c:v>2.3741024982000001</c:v>
                </c:pt>
                <c:pt idx="1">
                  <c:v>2.4509154302999998</c:v>
                </c:pt>
                <c:pt idx="2">
                  <c:v>2.5277283624</c:v>
                </c:pt>
                <c:pt idx="3">
                  <c:v>2.6045412945000002</c:v>
                </c:pt>
                <c:pt idx="4">
                  <c:v>2.6813542265999999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D40-4BAE-B4F0-206317711257}"/>
            </c:ext>
          </c:extLst>
        </c:ser>
        <c:ser>
          <c:idx val="15"/>
          <c:order val="14"/>
          <c:tx>
            <c:strRef>
              <c:f>'202507'!$A$110</c:f>
              <c:strCache>
                <c:ptCount val="1"/>
                <c:pt idx="0">
                  <c:v>2025-03</c:v>
                </c:pt>
              </c:strCache>
            </c:strRef>
          </c:tx>
          <c:marker>
            <c:symbol val="none"/>
          </c:marker>
          <c:xVal>
            <c:numRef>
              <c:f>'202508'!$E$110:$E$115</c:f>
              <c:numCache>
                <c:formatCode>General</c:formatCode>
                <c:ptCount val="6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  <c:pt idx="5">
                  <c:v>92</c:v>
                </c:pt>
              </c:numCache>
            </c:numRef>
          </c:xVal>
          <c:yVal>
            <c:numRef>
              <c:f>'202508'!$H$110:$H$115</c:f>
              <c:numCache>
                <c:formatCode>General</c:formatCode>
                <c:ptCount val="6"/>
                <c:pt idx="0">
                  <c:v>2.2899677812000001</c:v>
                </c:pt>
                <c:pt idx="1">
                  <c:v>2.3757326403999999</c:v>
                </c:pt>
                <c:pt idx="2">
                  <c:v>2.4614974996000001</c:v>
                </c:pt>
                <c:pt idx="3">
                  <c:v>2.5472623587999998</c:v>
                </c:pt>
                <c:pt idx="4">
                  <c:v>2.6330272179</c:v>
                </c:pt>
                <c:pt idx="5">
                  <c:v>2.7187920770999998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D40-4BAE-B4F0-206317711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663237765554092"/>
          <c:y val="3.78050526872592E-2"/>
          <c:w val="0.22693599603130374"/>
          <c:h val="0.93732891800466067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5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'202507'!$A$24:$A$114</c:f>
              <c:numCache>
                <c:formatCode>yyyy\-mm</c:formatCode>
                <c:ptCount val="9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</c:numCache>
            </c:numRef>
          </c:cat>
          <c:val>
            <c:numRef>
              <c:f>'202507'!$G$24:$G$114</c:f>
              <c:numCache>
                <c:formatCode>General</c:formatCode>
                <c:ptCount val="91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2.468531816</c:v>
                </c:pt>
                <c:pt idx="79">
                  <c:v>2.2833050880000001</c:v>
                </c:pt>
                <c:pt idx="80">
                  <c:v>2.1023668099999999</c:v>
                </c:pt>
                <c:pt idx="81">
                  <c:v>2.3422636940000001</c:v>
                </c:pt>
                <c:pt idx="82">
                  <c:v>2.4576864469999999</c:v>
                </c:pt>
                <c:pt idx="83">
                  <c:v>2.604397954</c:v>
                </c:pt>
                <c:pt idx="84">
                  <c:v>2.5582442780000001</c:v>
                </c:pt>
                <c:pt idx="85">
                  <c:v>2.6760494389999998</c:v>
                </c:pt>
                <c:pt idx="86">
                  <c:v>2.3423262170000001</c:v>
                </c:pt>
                <c:pt idx="87">
                  <c:v>2.2258467629999998</c:v>
                </c:pt>
                <c:pt idx="88">
                  <c:v>2.3923910930000001</c:v>
                </c:pt>
                <c:pt idx="89">
                  <c:v>2.5646637320000001</c:v>
                </c:pt>
                <c:pt idx="90">
                  <c:v>2.5959943349999999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1-4E46-9969-7988D2552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E1-4E46-9969-7988D2552D65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E1-4E46-9969-7988D2552D65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E1-4E46-9969-7988D2552D65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BE1-4E46-9969-7988D2552D65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BE1-4E46-9969-7988D2552D65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BE1-4E46-9969-7988D2552D65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BE1-4E46-9969-7988D2552D65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BE1-4E46-9969-7988D2552D65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BE1-4E46-9969-7988D2552D65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BE1-4E46-9969-7988D2552D65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BE1-4E46-9969-7988D2552D65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BE1-4E46-9969-7988D2552D65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BE1-4E46-9969-7988D2552D65}"/>
            </c:ext>
          </c:extLst>
        </c:ser>
        <c:ser>
          <c:idx val="14"/>
          <c:order val="13"/>
          <c:tx>
            <c:strRef>
              <c:f>'202507'!$A$105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'202507'!$E$105:$E$109</c:f>
              <c:numCache>
                <c:formatCode>General</c:formatCode>
                <c:ptCount val="5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</c:numCache>
            </c:numRef>
          </c:xVal>
          <c:yVal>
            <c:numRef>
              <c:f>'202507'!$H$105:$H$109</c:f>
              <c:numCache>
                <c:formatCode>General</c:formatCode>
                <c:ptCount val="5"/>
                <c:pt idx="0">
                  <c:v>2.3741024982000001</c:v>
                </c:pt>
                <c:pt idx="1">
                  <c:v>2.4509154302999998</c:v>
                </c:pt>
                <c:pt idx="2">
                  <c:v>2.5277283624</c:v>
                </c:pt>
                <c:pt idx="3">
                  <c:v>2.6045412945000002</c:v>
                </c:pt>
                <c:pt idx="4">
                  <c:v>2.6813542265999999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BE1-4E46-9969-7988D2552D65}"/>
            </c:ext>
          </c:extLst>
        </c:ser>
        <c:ser>
          <c:idx val="15"/>
          <c:order val="14"/>
          <c:tx>
            <c:strRef>
              <c:f>'202507'!$A$110</c:f>
              <c:strCache>
                <c:ptCount val="1"/>
                <c:pt idx="0">
                  <c:v>2025-03</c:v>
                </c:pt>
              </c:strCache>
            </c:strRef>
          </c:tx>
          <c:marker>
            <c:symbol val="none"/>
          </c:marker>
          <c:xVal>
            <c:numRef>
              <c:f>'202507'!$E$110:$E$114</c:f>
              <c:numCache>
                <c:formatCode>General</c:formatCode>
                <c:ptCount val="5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</c:numCache>
            </c:numRef>
          </c:xVal>
          <c:yVal>
            <c:numRef>
              <c:f>'202507'!$H$110:$H$114</c:f>
              <c:numCache>
                <c:formatCode>General</c:formatCode>
                <c:ptCount val="5"/>
                <c:pt idx="0">
                  <c:v>2.2550137870000002</c:v>
                </c:pt>
                <c:pt idx="1">
                  <c:v>2.3396291075</c:v>
                </c:pt>
                <c:pt idx="2">
                  <c:v>2.4242444280000002</c:v>
                </c:pt>
                <c:pt idx="3">
                  <c:v>2.5088597484999999</c:v>
                </c:pt>
                <c:pt idx="4">
                  <c:v>2.5934750690000001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BE1-4E46-9969-7988D2552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663237765554092"/>
          <c:y val="3.78050526872592E-2"/>
          <c:w val="0.22693599603130374"/>
          <c:h val="0.93732891800466067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4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'202506'!$A$24:$A$113</c:f>
              <c:numCache>
                <c:formatCode>yyyy\-mm</c:formatCode>
                <c:ptCount val="9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</c:numCache>
            </c:numRef>
          </c:cat>
          <c:val>
            <c:numRef>
              <c:f>'202506'!$G$24:$G$113</c:f>
              <c:numCache>
                <c:formatCode>General</c:formatCode>
                <c:ptCount val="90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2.468531816</c:v>
                </c:pt>
                <c:pt idx="79">
                  <c:v>2.2833050880000001</c:v>
                </c:pt>
                <c:pt idx="80">
                  <c:v>2.1023668099999999</c:v>
                </c:pt>
                <c:pt idx="81">
                  <c:v>2.3422636940000001</c:v>
                </c:pt>
                <c:pt idx="82">
                  <c:v>2.4576864469999999</c:v>
                </c:pt>
                <c:pt idx="83">
                  <c:v>2.604397954</c:v>
                </c:pt>
                <c:pt idx="84">
                  <c:v>2.5582442780000001</c:v>
                </c:pt>
                <c:pt idx="85">
                  <c:v>2.6760494389999998</c:v>
                </c:pt>
                <c:pt idx="86">
                  <c:v>2.3423262170000001</c:v>
                </c:pt>
                <c:pt idx="87">
                  <c:v>2.2363957999999999</c:v>
                </c:pt>
                <c:pt idx="88">
                  <c:v>2.4159254689999998</c:v>
                </c:pt>
                <c:pt idx="89">
                  <c:v>2.5824964129999999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E-43BF-A164-7989BF583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FE-43BF-A164-7989BF583054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FE-43BF-A164-7989BF583054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FE-43BF-A164-7989BF583054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FE-43BF-A164-7989BF583054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5FE-43BF-A164-7989BF583054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5FE-43BF-A164-7989BF583054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5FE-43BF-A164-7989BF583054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5FE-43BF-A164-7989BF583054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5FE-43BF-A164-7989BF583054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5FE-43BF-A164-7989BF583054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5FE-43BF-A164-7989BF583054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5FE-43BF-A164-7989BF583054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5FE-43BF-A164-7989BF583054}"/>
            </c:ext>
          </c:extLst>
        </c:ser>
        <c:ser>
          <c:idx val="14"/>
          <c:order val="13"/>
          <c:tx>
            <c:strRef>
              <c:f>'202506'!$A$105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'202506'!$E$105:$E$113</c:f>
              <c:numCache>
                <c:formatCode>General</c:formatCode>
                <c:ptCount val="9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  <c:pt idx="7">
                  <c:v>89</c:v>
                </c:pt>
                <c:pt idx="8">
                  <c:v>90</c:v>
                </c:pt>
              </c:numCache>
            </c:numRef>
          </c:xVal>
          <c:yVal>
            <c:numRef>
              <c:f>'202506'!$H$105:$H$113</c:f>
              <c:numCache>
                <c:formatCode>General</c:formatCode>
                <c:ptCount val="9"/>
                <c:pt idx="0">
                  <c:v>2.476172263</c:v>
                </c:pt>
                <c:pt idx="1">
                  <c:v>2.4742343559000002</c:v>
                </c:pt>
                <c:pt idx="2">
                  <c:v>2.4722964487999999</c:v>
                </c:pt>
                <c:pt idx="3">
                  <c:v>2.4703585417</c:v>
                </c:pt>
                <c:pt idx="4">
                  <c:v>2.4684206346000002</c:v>
                </c:pt>
                <c:pt idx="5">
                  <c:v>2.4664827273999999</c:v>
                </c:pt>
                <c:pt idx="6">
                  <c:v>2.4645448203</c:v>
                </c:pt>
                <c:pt idx="7">
                  <c:v>2.4626069132000001</c:v>
                </c:pt>
                <c:pt idx="8">
                  <c:v>2.4606690060999998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5FE-43BF-A164-7989BF583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442862071525583"/>
          <c:y val="5.5208786715730887E-2"/>
          <c:w val="0.24913971515425684"/>
          <c:h val="0.9199252326715137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4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'202505'!$A$24:$A$112</c:f>
              <c:numCache>
                <c:formatCode>yyyy\-mm</c:formatCode>
                <c:ptCount val="89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</c:numCache>
            </c:numRef>
          </c:cat>
          <c:val>
            <c:numRef>
              <c:f>'202505'!$G$24:$G$112</c:f>
              <c:numCache>
                <c:formatCode>General</c:formatCode>
                <c:ptCount val="89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2.468531816</c:v>
                </c:pt>
                <c:pt idx="79">
                  <c:v>2.2833050880000001</c:v>
                </c:pt>
                <c:pt idx="80">
                  <c:v>2.1023668099999999</c:v>
                </c:pt>
                <c:pt idx="81">
                  <c:v>2.3422636940000001</c:v>
                </c:pt>
                <c:pt idx="82">
                  <c:v>2.4576864469999999</c:v>
                </c:pt>
                <c:pt idx="83">
                  <c:v>2.604397954</c:v>
                </c:pt>
                <c:pt idx="84">
                  <c:v>2.5582442780000001</c:v>
                </c:pt>
                <c:pt idx="85">
                  <c:v>2.6760494389999998</c:v>
                </c:pt>
                <c:pt idx="86">
                  <c:v>2.3423262170000001</c:v>
                </c:pt>
                <c:pt idx="87">
                  <c:v>2.195011117</c:v>
                </c:pt>
                <c:pt idx="88">
                  <c:v>2.342076219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2-40CC-A516-874D919EA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D2-40CC-A516-874D919EAC6B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D2-40CC-A516-874D919EAC6B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D2-40CC-A516-874D919EAC6B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D2-40CC-A516-874D919EAC6B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D2-40CC-A516-874D919EAC6B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D2-40CC-A516-874D919EAC6B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9D2-40CC-A516-874D919EAC6B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9D2-40CC-A516-874D919EAC6B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9D2-40CC-A516-874D919EAC6B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9D2-40CC-A516-874D919EAC6B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9D2-40CC-A516-874D919EAC6B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9D2-40CC-A516-874D919EAC6B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9D2-40CC-A516-874D919EAC6B}"/>
            </c:ext>
          </c:extLst>
        </c:ser>
        <c:ser>
          <c:idx val="14"/>
          <c:order val="13"/>
          <c:tx>
            <c:strRef>
              <c:f>'202504'!$A$105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'202505'!$E$105:$E$112</c:f>
              <c:numCache>
                <c:formatCode>General</c:formatCode>
                <c:ptCount val="8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  <c:pt idx="7">
                  <c:v>89</c:v>
                </c:pt>
              </c:numCache>
            </c:numRef>
          </c:xVal>
          <c:yVal>
            <c:numRef>
              <c:f>'202505'!$H$105:$H$113</c:f>
              <c:numCache>
                <c:formatCode>General</c:formatCode>
                <c:ptCount val="9"/>
                <c:pt idx="0">
                  <c:v>2.5223860466999999</c:v>
                </c:pt>
                <c:pt idx="1">
                  <c:v>2.4987777249000001</c:v>
                </c:pt>
                <c:pt idx="2">
                  <c:v>2.4751694031999998</c:v>
                </c:pt>
                <c:pt idx="3">
                  <c:v>2.4515610815</c:v>
                </c:pt>
                <c:pt idx="4">
                  <c:v>2.4279527598000001</c:v>
                </c:pt>
                <c:pt idx="5">
                  <c:v>2.4043444379999999</c:v>
                </c:pt>
                <c:pt idx="6">
                  <c:v>2.3807361163</c:v>
                </c:pt>
                <c:pt idx="7">
                  <c:v>2.3571277946000002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9D2-40CC-A516-874D919EA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442862071525583"/>
          <c:y val="5.5208786715730887E-2"/>
          <c:w val="0.24913971515425684"/>
          <c:h val="0.9199252326715137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4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'202504'!$A$24:$A$111</c:f>
              <c:numCache>
                <c:formatCode>yyyy\-mm</c:formatCode>
                <c:ptCount val="8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</c:numCache>
            </c:numRef>
          </c:cat>
          <c:val>
            <c:numRef>
              <c:f>'202504'!$G$24:$G$111</c:f>
              <c:numCache>
                <c:formatCode>General</c:formatCode>
                <c:ptCount val="88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2.468531816</c:v>
                </c:pt>
                <c:pt idx="79">
                  <c:v>2.2833050880000001</c:v>
                </c:pt>
                <c:pt idx="80">
                  <c:v>2.1023668099999999</c:v>
                </c:pt>
                <c:pt idx="81">
                  <c:v>2.3422636940000001</c:v>
                </c:pt>
                <c:pt idx="82">
                  <c:v>2.4576864469999999</c:v>
                </c:pt>
                <c:pt idx="83">
                  <c:v>2.604397954</c:v>
                </c:pt>
                <c:pt idx="84">
                  <c:v>2.5410473730000001</c:v>
                </c:pt>
                <c:pt idx="85">
                  <c:v>2.6491093440000002</c:v>
                </c:pt>
                <c:pt idx="86">
                  <c:v>2.3122233790000002</c:v>
                </c:pt>
                <c:pt idx="87">
                  <c:v>2.1471347189999999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6-427E-A4B7-1FD9197E7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B6-427E-A4B7-1FD9197E7D87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B6-427E-A4B7-1FD9197E7D87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B6-427E-A4B7-1FD9197E7D87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B6-427E-A4B7-1FD9197E7D87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B6-427E-A4B7-1FD9197E7D87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8B6-427E-A4B7-1FD9197E7D87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8B6-427E-A4B7-1FD9197E7D87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8B6-427E-A4B7-1FD9197E7D87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8B6-427E-A4B7-1FD9197E7D87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8B6-427E-A4B7-1FD9197E7D87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8B6-427E-A4B7-1FD9197E7D87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8B6-427E-A4B7-1FD9197E7D87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8B6-427E-A4B7-1FD9197E7D87}"/>
            </c:ext>
          </c:extLst>
        </c:ser>
        <c:ser>
          <c:idx val="14"/>
          <c:order val="13"/>
          <c:tx>
            <c:strRef>
              <c:f>'202504'!$A$105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'202504'!$E$105:$E$111</c:f>
              <c:numCache>
                <c:formatCode>General</c:formatCode>
                <c:ptCount val="7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</c:numCache>
            </c:numRef>
          </c:xVal>
          <c:yVal>
            <c:numRef>
              <c:f>'202504'!$H$105:$H$111</c:f>
              <c:numCache>
                <c:formatCode>General</c:formatCode>
                <c:ptCount val="7"/>
                <c:pt idx="0">
                  <c:v>2.5253663089999998</c:v>
                </c:pt>
                <c:pt idx="1">
                  <c:v>2.4956662494000001</c:v>
                </c:pt>
                <c:pt idx="2">
                  <c:v>2.4659661897</c:v>
                </c:pt>
                <c:pt idx="3">
                  <c:v>2.4362661299999999</c:v>
                </c:pt>
                <c:pt idx="4">
                  <c:v>2.4065660702999998</c:v>
                </c:pt>
                <c:pt idx="5">
                  <c:v>2.3768660106000001</c:v>
                </c:pt>
                <c:pt idx="6">
                  <c:v>2.347165951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8B6-427E-A4B7-1FD9197E7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442862071525583"/>
          <c:y val="5.5208786715730887E-2"/>
          <c:w val="0.24913971515425684"/>
          <c:h val="0.9199252326715137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4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'202503'!$A$24:$A$110</c:f>
              <c:numCache>
                <c:formatCode>yyyy\-mm</c:formatCode>
                <c:ptCount val="8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</c:numCache>
            </c:numRef>
          </c:cat>
          <c:val>
            <c:numRef>
              <c:f>'202503'!$G$24:$G$110</c:f>
              <c:numCache>
                <c:formatCode>General</c:formatCode>
                <c:ptCount val="87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2.468531816</c:v>
                </c:pt>
                <c:pt idx="79">
                  <c:v>2.2833050880000001</c:v>
                </c:pt>
                <c:pt idx="80">
                  <c:v>2.1023668099999999</c:v>
                </c:pt>
                <c:pt idx="81">
                  <c:v>2.3422636940000001</c:v>
                </c:pt>
                <c:pt idx="82">
                  <c:v>2.4576864469999999</c:v>
                </c:pt>
                <c:pt idx="83">
                  <c:v>2.604397954</c:v>
                </c:pt>
                <c:pt idx="84">
                  <c:v>2.5516930759999998</c:v>
                </c:pt>
                <c:pt idx="85">
                  <c:v>2.6891113029999998</c:v>
                </c:pt>
                <c:pt idx="86">
                  <c:v>2.2943243949999998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F-48FC-A836-75B6234B6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F-48FC-A836-75B6234B694D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EF-48FC-A836-75B6234B694D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F-48FC-A836-75B6234B694D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EF-48FC-A836-75B6234B694D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0EF-48FC-A836-75B6234B694D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0EF-48FC-A836-75B6234B694D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0EF-48FC-A836-75B6234B694D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0EF-48FC-A836-75B6234B694D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0EF-48FC-A836-75B6234B694D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0EF-48FC-A836-75B6234B694D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0EF-48FC-A836-75B6234B694D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0EF-48FC-A836-75B6234B694D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0EF-48FC-A836-75B6234B694D}"/>
            </c:ext>
          </c:extLst>
        </c:ser>
        <c:ser>
          <c:idx val="14"/>
          <c:order val="13"/>
          <c:tx>
            <c:strRef>
              <c:f>'202503'!$A$105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'202503'!$E$105:$E$110</c:f>
              <c:numCache>
                <c:formatCode>General</c:formatCode>
                <c:ptCount val="6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</c:numCache>
            </c:numRef>
          </c:xVal>
          <c:yVal>
            <c:numRef>
              <c:f>'202503'!$H$105:$H$110</c:f>
              <c:numCache>
                <c:formatCode>General</c:formatCode>
                <c:ptCount val="6"/>
                <c:pt idx="0">
                  <c:v>2.4612075832999998</c:v>
                </c:pt>
                <c:pt idx="1">
                  <c:v>2.4726896746000002</c:v>
                </c:pt>
                <c:pt idx="2">
                  <c:v>2.4841717659000002</c:v>
                </c:pt>
                <c:pt idx="3">
                  <c:v>2.4956538571000002</c:v>
                </c:pt>
                <c:pt idx="4">
                  <c:v>2.5071359484000002</c:v>
                </c:pt>
                <c:pt idx="5">
                  <c:v>2.5186180397000002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0EF-48FC-A836-75B6234B6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442862071525583"/>
          <c:y val="5.5208786715730887E-2"/>
          <c:w val="0.24913971515425684"/>
          <c:h val="0.9199252326715137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4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'202502'!$A$24:$A$109</c:f>
              <c:numCache>
                <c:formatCode>yyyy\-mm</c:formatCode>
                <c:ptCount val="86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</c:numCache>
            </c:numRef>
          </c:cat>
          <c:val>
            <c:numRef>
              <c:f>'202502'!$G$24:$G$109</c:f>
              <c:numCache>
                <c:formatCode>General</c:formatCode>
                <c:ptCount val="86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2.468531816</c:v>
                </c:pt>
                <c:pt idx="79">
                  <c:v>2.2833050880000001</c:v>
                </c:pt>
                <c:pt idx="80">
                  <c:v>2.1023668099999999</c:v>
                </c:pt>
                <c:pt idx="81">
                  <c:v>2.3422636940000001</c:v>
                </c:pt>
                <c:pt idx="82">
                  <c:v>2.4576864469999999</c:v>
                </c:pt>
                <c:pt idx="83">
                  <c:v>2.604397954</c:v>
                </c:pt>
                <c:pt idx="84">
                  <c:v>2.5516930759999998</c:v>
                </c:pt>
                <c:pt idx="85">
                  <c:v>2.6891113029999998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5-4117-B8BF-3DCACD416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'202503'!$E$24:$E$28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'202503'!$H$24:$H$28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55-4117-B8BF-3DCACD416410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55-4117-B8BF-3DCACD416410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55-4117-B8BF-3DCACD416410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55-4117-B8BF-3DCACD416410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055-4117-B8BF-3DCACD416410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055-4117-B8BF-3DCACD416410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055-4117-B8BF-3DCACD416410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055-4117-B8BF-3DCACD416410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055-4117-B8BF-3DCACD416410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055-4117-B8BF-3DCACD416410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055-4117-B8BF-3DCACD416410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055-4117-B8BF-3DCACD416410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'202503'!$E$96:$E$104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'202503'!$H$96:$H$104</c:f>
              <c:numCache>
                <c:formatCode>General</c:formatCode>
                <c:ptCount val="9"/>
                <c:pt idx="0">
                  <c:v>2.7716413211000002</c:v>
                </c:pt>
                <c:pt idx="1">
                  <c:v>2.7062235499999998</c:v>
                </c:pt>
                <c:pt idx="2">
                  <c:v>2.6408057787999999</c:v>
                </c:pt>
                <c:pt idx="3">
                  <c:v>2.5753880077</c:v>
                </c:pt>
                <c:pt idx="4">
                  <c:v>2.5099702366000001</c:v>
                </c:pt>
                <c:pt idx="5">
                  <c:v>2.4445524654000002</c:v>
                </c:pt>
                <c:pt idx="6">
                  <c:v>2.3791346942999998</c:v>
                </c:pt>
                <c:pt idx="7">
                  <c:v>2.3137169231999999</c:v>
                </c:pt>
                <c:pt idx="8">
                  <c:v>2.248299152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055-4117-B8BF-3DCACD416410}"/>
            </c:ext>
          </c:extLst>
        </c:ser>
        <c:ser>
          <c:idx val="14"/>
          <c:order val="13"/>
          <c:tx>
            <c:strRef>
              <c:f>'202503'!$A$105</c:f>
              <c:strCache>
                <c:ptCount val="1"/>
                <c:pt idx="0">
                  <c:v>2024-10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'202502'!$E$105:$E$109</c:f>
              <c:numCache>
                <c:formatCode>General</c:formatCode>
                <c:ptCount val="5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</c:numCache>
            </c:numRef>
          </c:xVal>
          <c:yVal>
            <c:numRef>
              <c:f>'202502'!$H$105:$H$109</c:f>
              <c:numCache>
                <c:formatCode>General</c:formatCode>
                <c:ptCount val="5"/>
                <c:pt idx="0">
                  <c:v>2.3714901253999998</c:v>
                </c:pt>
                <c:pt idx="1">
                  <c:v>2.4502603101</c:v>
                </c:pt>
                <c:pt idx="2">
                  <c:v>2.5290304948000002</c:v>
                </c:pt>
                <c:pt idx="3">
                  <c:v>2.6078006794999999</c:v>
                </c:pt>
                <c:pt idx="4">
                  <c:v>2.6865708642000001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055-4117-B8BF-3DCACD416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442862071525583"/>
          <c:y val="5.5208786715730887E-2"/>
          <c:w val="0.24913971515425684"/>
          <c:h val="0.9199252326715137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3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'202501'!$A$24:$A$108</c:f>
              <c:numCache>
                <c:formatCode>yyyy\-mm</c:formatCode>
                <c:ptCount val="8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</c:numCache>
            </c:numRef>
          </c:cat>
          <c:val>
            <c:numRef>
              <c:f>'202501'!$G$24:$G$108</c:f>
              <c:numCache>
                <c:formatCode>General</c:formatCode>
                <c:ptCount val="85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2.468531816</c:v>
                </c:pt>
                <c:pt idx="79">
                  <c:v>2.2833050880000001</c:v>
                </c:pt>
                <c:pt idx="80">
                  <c:v>2.1023668099999999</c:v>
                </c:pt>
                <c:pt idx="81">
                  <c:v>2.3472051789999999</c:v>
                </c:pt>
                <c:pt idx="82">
                  <c:v>2.4634517979999999</c:v>
                </c:pt>
                <c:pt idx="83">
                  <c:v>2.604397954</c:v>
                </c:pt>
                <c:pt idx="84">
                  <c:v>2.505834664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12-4EE7-883A-A09CD8634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'202312'!$E$24:$E$28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12-4EE7-883A-A09CD8634A40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12-4EE7-883A-A09CD8634A40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12-4EE7-883A-A09CD8634A40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12-4EE7-883A-A09CD8634A40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12-4EE7-883A-A09CD8634A40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412-4EE7-883A-A09CD8634A40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412-4EE7-883A-A09CD8634A40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412-4EE7-883A-A09CD8634A40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412-4EE7-883A-A09CD8634A40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412-4EE7-883A-A09CD8634A40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412-4EE7-883A-A09CD8634A40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412-4EE7-883A-A09CD8634A40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'202501'!$E$96:$E$108</c:f>
              <c:numCache>
                <c:formatCode>General</c:formatCode>
                <c:ptCount val="13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  <c:pt idx="9">
                  <c:v>82</c:v>
                </c:pt>
                <c:pt idx="10">
                  <c:v>83</c:v>
                </c:pt>
                <c:pt idx="11">
                  <c:v>84</c:v>
                </c:pt>
                <c:pt idx="12">
                  <c:v>85</c:v>
                </c:pt>
              </c:numCache>
            </c:numRef>
          </c:xVal>
          <c:yVal>
            <c:numRef>
              <c:f>'202501'!$H$96:$H$108</c:f>
              <c:numCache>
                <c:formatCode>General</c:formatCode>
                <c:ptCount val="13"/>
                <c:pt idx="0">
                  <c:v>2.6376998044</c:v>
                </c:pt>
                <c:pt idx="1">
                  <c:v>2.6148860129</c:v>
                </c:pt>
                <c:pt idx="2">
                  <c:v>2.5920722215000001</c:v>
                </c:pt>
                <c:pt idx="3">
                  <c:v>2.5692584300000001</c:v>
                </c:pt>
                <c:pt idx="4">
                  <c:v>2.5464446386000001</c:v>
                </c:pt>
                <c:pt idx="5">
                  <c:v>2.5236308471000002</c:v>
                </c:pt>
                <c:pt idx="6">
                  <c:v>2.5008170556999998</c:v>
                </c:pt>
                <c:pt idx="7">
                  <c:v>2.4780032641999998</c:v>
                </c:pt>
                <c:pt idx="8">
                  <c:v>2.4551894727999999</c:v>
                </c:pt>
                <c:pt idx="9">
                  <c:v>2.4323756813999999</c:v>
                </c:pt>
                <c:pt idx="10">
                  <c:v>2.4095618899</c:v>
                </c:pt>
                <c:pt idx="11">
                  <c:v>2.3867480985</c:v>
                </c:pt>
                <c:pt idx="12">
                  <c:v>2.3639343070000001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412-4EE7-883A-A09CD8634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442862071525583"/>
          <c:y val="5.5208786715730887E-2"/>
          <c:w val="0.24893244417659108"/>
          <c:h val="0.885394821878421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3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'202412'!$A$24:$A$107</c:f>
              <c:numCache>
                <c:formatCode>yyyy\-mm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cat>
          <c:val>
            <c:numRef>
              <c:f>'202412'!$G$24:$G$107</c:f>
              <c:numCache>
                <c:formatCode>General</c:formatCode>
                <c:ptCount val="84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2.468531816</c:v>
                </c:pt>
                <c:pt idx="79">
                  <c:v>2.2833050880000001</c:v>
                </c:pt>
                <c:pt idx="80">
                  <c:v>2.1023668099999999</c:v>
                </c:pt>
                <c:pt idx="81">
                  <c:v>2.3175562709999999</c:v>
                </c:pt>
                <c:pt idx="82">
                  <c:v>2.44780299</c:v>
                </c:pt>
                <c:pt idx="83">
                  <c:v>2.5517672409999999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6-4CCD-9D5F-EC422E959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'202312'!$E$24:$E$28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76-4CCD-9D5F-EC422E95968A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76-4CCD-9D5F-EC422E95968A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76-4CCD-9D5F-EC422E95968A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76-4CCD-9D5F-EC422E95968A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76-4CCD-9D5F-EC422E95968A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376-4CCD-9D5F-EC422E95968A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376-4CCD-9D5F-EC422E95968A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376-4CCD-9D5F-EC422E95968A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376-4CCD-9D5F-EC422E95968A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376-4CCD-9D5F-EC422E95968A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376-4CCD-9D5F-EC422E95968A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376-4CCD-9D5F-EC422E95968A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'202412'!$E$96:$E$107</c:f>
              <c:numCache>
                <c:formatCode>General</c:formatCode>
                <c:ptCount val="12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  <c:pt idx="9">
                  <c:v>82</c:v>
                </c:pt>
                <c:pt idx="10">
                  <c:v>83</c:v>
                </c:pt>
                <c:pt idx="11">
                  <c:v>84</c:v>
                </c:pt>
              </c:numCache>
            </c:numRef>
          </c:xVal>
          <c:yVal>
            <c:numRef>
              <c:f>'202412'!$H$96:$H$107</c:f>
              <c:numCache>
                <c:formatCode>General</c:formatCode>
                <c:ptCount val="12"/>
                <c:pt idx="0">
                  <c:v>2.6710222282</c:v>
                </c:pt>
                <c:pt idx="1">
                  <c:v>2.6385160446999998</c:v>
                </c:pt>
                <c:pt idx="2">
                  <c:v>2.6060098613</c:v>
                </c:pt>
                <c:pt idx="3">
                  <c:v>2.5735036778999998</c:v>
                </c:pt>
                <c:pt idx="4">
                  <c:v>2.5409974944</c:v>
                </c:pt>
                <c:pt idx="5">
                  <c:v>2.5084913109999998</c:v>
                </c:pt>
                <c:pt idx="6">
                  <c:v>2.4759851275</c:v>
                </c:pt>
                <c:pt idx="7">
                  <c:v>2.4434789441000002</c:v>
                </c:pt>
                <c:pt idx="8">
                  <c:v>2.4109727606</c:v>
                </c:pt>
                <c:pt idx="9">
                  <c:v>2.3784665772000002</c:v>
                </c:pt>
                <c:pt idx="10">
                  <c:v>2.3459603938</c:v>
                </c:pt>
                <c:pt idx="11">
                  <c:v>2.3134542103000002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376-4CCD-9D5F-EC422E959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442862071525583"/>
          <c:y val="5.5208786715730887E-2"/>
          <c:w val="0.24893244417659108"/>
          <c:h val="0.885394821878421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3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'202411'!$A$24:$A$106</c:f>
              <c:numCache>
                <c:formatCode>yyyy\-mm</c:formatCode>
                <c:ptCount val="83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</c:numCache>
            </c:numRef>
          </c:cat>
          <c:val>
            <c:numRef>
              <c:f>'202411'!$G$24:$G$106</c:f>
              <c:numCache>
                <c:formatCode>General</c:formatCode>
                <c:ptCount val="83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2.468531816</c:v>
                </c:pt>
                <c:pt idx="79">
                  <c:v>2.2833050880000001</c:v>
                </c:pt>
                <c:pt idx="80">
                  <c:v>2.1023668099999999</c:v>
                </c:pt>
                <c:pt idx="81">
                  <c:v>2.307673302</c:v>
                </c:pt>
                <c:pt idx="82">
                  <c:v>2.4436848819999999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A-4E1C-A75D-8EFED23D8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'202312'!$E$24:$E$28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1A-4E1C-A75D-8EFED23D8336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1A-4E1C-A75D-8EFED23D8336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1A-4E1C-A75D-8EFED23D8336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1A-4E1C-A75D-8EFED23D8336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71A-4E1C-A75D-8EFED23D8336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71A-4E1C-A75D-8EFED23D8336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71A-4E1C-A75D-8EFED23D8336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71A-4E1C-A75D-8EFED23D8336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71A-4E1C-A75D-8EFED23D8336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71A-4E1C-A75D-8EFED23D8336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71A-4E1C-A75D-8EFED23D8336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71A-4E1C-A75D-8EFED23D8336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'202411'!$E$96:$E$106</c:f>
              <c:numCache>
                <c:formatCode>General</c:formatCode>
                <c:ptCount val="11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  <c:pt idx="9">
                  <c:v>82</c:v>
                </c:pt>
                <c:pt idx="10">
                  <c:v>83</c:v>
                </c:pt>
              </c:numCache>
            </c:numRef>
          </c:xVal>
          <c:yVal>
            <c:numRef>
              <c:f>'202411'!$H$96:$H$106</c:f>
              <c:numCache>
                <c:formatCode>General</c:formatCode>
                <c:ptCount val="11"/>
                <c:pt idx="0">
                  <c:v>2.7158118820000001</c:v>
                </c:pt>
                <c:pt idx="1">
                  <c:v>2.6697602385999999</c:v>
                </c:pt>
                <c:pt idx="2">
                  <c:v>2.6237085952000001</c:v>
                </c:pt>
                <c:pt idx="3">
                  <c:v>2.5776569516999999</c:v>
                </c:pt>
                <c:pt idx="4">
                  <c:v>2.5316053083000001</c:v>
                </c:pt>
                <c:pt idx="5">
                  <c:v>2.4855536647999998</c:v>
                </c:pt>
                <c:pt idx="6">
                  <c:v>2.4395020214000001</c:v>
                </c:pt>
                <c:pt idx="7">
                  <c:v>2.3934503778999998</c:v>
                </c:pt>
                <c:pt idx="8">
                  <c:v>2.3473987345</c:v>
                </c:pt>
                <c:pt idx="9">
                  <c:v>2.3013470909999998</c:v>
                </c:pt>
                <c:pt idx="10">
                  <c:v>2.2552954476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71A-4E1C-A75D-8EFED23D8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442862071525583"/>
          <c:y val="5.5208786715730887E-2"/>
          <c:w val="0.24893244417659108"/>
          <c:h val="0.885394821878421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3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'202410'!$A$24:$A$105</c:f>
              <c:numCache>
                <c:formatCode>yyyy\-mm</c:formatCode>
                <c:ptCount val="8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</c:numCache>
            </c:numRef>
          </c:cat>
          <c:val>
            <c:numRef>
              <c:f>'202410'!$G$24:$G$105</c:f>
              <c:numCache>
                <c:formatCode>General</c:formatCode>
                <c:ptCount val="82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2.4594106039999999</c:v>
                </c:pt>
                <c:pt idx="79">
                  <c:v>2.2675980660000001</c:v>
                </c:pt>
                <c:pt idx="80">
                  <c:v>2.0957763190000001</c:v>
                </c:pt>
                <c:pt idx="81">
                  <c:v>2.3101440439999998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B-40F8-86EB-24BCE522C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'202312'!$E$24:$E$28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BB-40F8-86EB-24BCE522C422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BB-40F8-86EB-24BCE522C422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BB-40F8-86EB-24BCE522C422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BB-40F8-86EB-24BCE522C422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7BB-40F8-86EB-24BCE522C422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7BB-40F8-86EB-24BCE522C422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7BB-40F8-86EB-24BCE522C422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7BB-40F8-86EB-24BCE522C422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7BB-40F8-86EB-24BCE522C422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7BB-40F8-86EB-24BCE522C422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7BB-40F8-86EB-24BCE522C422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7BB-40F8-86EB-24BCE522C422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'202410'!$E$96:$E$105</c:f>
              <c:numCache>
                <c:formatCode>General</c:formatCode>
                <c:ptCount val="10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  <c:pt idx="9">
                  <c:v>82</c:v>
                </c:pt>
              </c:numCache>
            </c:numRef>
          </c:xVal>
          <c:yVal>
            <c:numRef>
              <c:f>'202410'!$H$96:$H$105</c:f>
              <c:numCache>
                <c:formatCode>General</c:formatCode>
                <c:ptCount val="10"/>
                <c:pt idx="0">
                  <c:v>2.7541348480000001</c:v>
                </c:pt>
                <c:pt idx="1">
                  <c:v>2.6947372695</c:v>
                </c:pt>
                <c:pt idx="2">
                  <c:v>2.635339691</c:v>
                </c:pt>
                <c:pt idx="3">
                  <c:v>2.5759421124999999</c:v>
                </c:pt>
                <c:pt idx="4">
                  <c:v>2.5165445339999999</c:v>
                </c:pt>
                <c:pt idx="5">
                  <c:v>2.4571469555999998</c:v>
                </c:pt>
                <c:pt idx="6">
                  <c:v>2.3977493770999998</c:v>
                </c:pt>
                <c:pt idx="7">
                  <c:v>2.3383517986000002</c:v>
                </c:pt>
                <c:pt idx="8">
                  <c:v>2.2789542201000001</c:v>
                </c:pt>
                <c:pt idx="9">
                  <c:v>2.2195566416000001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7BB-40F8-86EB-24BCE522C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442862071525583"/>
          <c:y val="5.5208786715730887E-2"/>
          <c:w val="0.24893244417659108"/>
          <c:h val="0.885394821878421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3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'202409'!$A$24:$A$104</c:f>
              <c:numCache>
                <c:formatCode>yyyy\-mm</c:formatCode>
                <c:ptCount val="8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</c:numCache>
            </c:numRef>
          </c:cat>
          <c:val>
            <c:numRef>
              <c:f>'202409'!$G$24:$G$104</c:f>
              <c:numCache>
                <c:formatCode>General</c:formatCode>
                <c:ptCount val="81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2.4652150119999998</c:v>
                </c:pt>
                <c:pt idx="79">
                  <c:v>2.2717314929999999</c:v>
                </c:pt>
                <c:pt idx="80">
                  <c:v>2.0949525069999999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4-48B7-A550-BC60E3AF7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'202312'!$E$24:$E$28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C4-48B7-A550-BC60E3AF73E5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C4-48B7-A550-BC60E3AF73E5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C4-48B7-A550-BC60E3AF73E5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C4-48B7-A550-BC60E3AF73E5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0C4-48B7-A550-BC60E3AF73E5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0C4-48B7-A550-BC60E3AF73E5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0C4-48B7-A550-BC60E3AF73E5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0C4-48B7-A550-BC60E3AF73E5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0C4-48B7-A550-BC60E3AF73E5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0C4-48B7-A550-BC60E3AF73E5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0C4-48B7-A550-BC60E3AF73E5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0C4-48B7-A550-BC60E3AF73E5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'202409'!$E$96:$E$104</c:f>
              <c:numCache>
                <c:formatCode>General</c:formatCode>
                <c:ptCount val="9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81</c:v>
                </c:pt>
              </c:numCache>
            </c:numRef>
          </c:xVal>
          <c:yVal>
            <c:numRef>
              <c:f>'202409'!$H$96:$H$104</c:f>
              <c:numCache>
                <c:formatCode>General</c:formatCode>
                <c:ptCount val="9"/>
                <c:pt idx="0">
                  <c:v>2.7738971279000002</c:v>
                </c:pt>
                <c:pt idx="1">
                  <c:v>2.7072958300000001</c:v>
                </c:pt>
                <c:pt idx="2">
                  <c:v>2.6406945320999999</c:v>
                </c:pt>
                <c:pt idx="3">
                  <c:v>2.5740932341999998</c:v>
                </c:pt>
                <c:pt idx="4">
                  <c:v>2.5074919363000001</c:v>
                </c:pt>
                <c:pt idx="5">
                  <c:v>2.4408906385</c:v>
                </c:pt>
                <c:pt idx="6">
                  <c:v>2.3742893405999999</c:v>
                </c:pt>
                <c:pt idx="7">
                  <c:v>2.3076880427000002</c:v>
                </c:pt>
                <c:pt idx="8">
                  <c:v>2.2410867448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0C4-48B7-A550-BC60E3AF7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442862071525583"/>
          <c:y val="5.5208786715730887E-2"/>
          <c:w val="0.24893244417659108"/>
          <c:h val="0.885394821878421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24553128862217E-2"/>
          <c:y val="4.6063651591289785E-2"/>
          <c:w val="0.67228460003231705"/>
          <c:h val="0.77668229599440775"/>
        </c:manualLayout>
      </c:layout>
      <c:lineChart>
        <c:grouping val="standard"/>
        <c:varyColors val="0"/>
        <c:ser>
          <c:idx val="9"/>
          <c:order val="13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'202408'!$A$24:$A$103</c:f>
              <c:numCache>
                <c:formatCode>yyyy\-mm</c:formatCode>
                <c:ptCount val="8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</c:numCache>
            </c:numRef>
          </c:cat>
          <c:val>
            <c:numRef>
              <c:f>'202408'!$G$24:$G$103</c:f>
              <c:numCache>
                <c:formatCode>General</c:formatCode>
                <c:ptCount val="80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1.43183233</c:v>
                </c:pt>
                <c:pt idx="13">
                  <c:v>1.400173543</c:v>
                </c:pt>
                <c:pt idx="14">
                  <c:v>1.521807651</c:v>
                </c:pt>
                <c:pt idx="15">
                  <c:v>1.5663384629999999</c:v>
                </c:pt>
                <c:pt idx="16">
                  <c:v>1.465553605</c:v>
                </c:pt>
                <c:pt idx="17">
                  <c:v>1.426065138</c:v>
                </c:pt>
                <c:pt idx="18">
                  <c:v>1.453929526</c:v>
                </c:pt>
                <c:pt idx="19">
                  <c:v>1.430416406</c:v>
                </c:pt>
                <c:pt idx="20">
                  <c:v>1.283953992</c:v>
                </c:pt>
                <c:pt idx="21">
                  <c:v>1.2885618210000001</c:v>
                </c:pt>
                <c:pt idx="22">
                  <c:v>1.358277307</c:v>
                </c:pt>
                <c:pt idx="23">
                  <c:v>1.5637627679999999</c:v>
                </c:pt>
                <c:pt idx="24">
                  <c:v>1.7253136929999999</c:v>
                </c:pt>
                <c:pt idx="25">
                  <c:v>1.6579796959999999</c:v>
                </c:pt>
                <c:pt idx="26">
                  <c:v>1.1477747920000001</c:v>
                </c:pt>
                <c:pt idx="27">
                  <c:v>0.44214396299999997</c:v>
                </c:pt>
                <c:pt idx="28">
                  <c:v>0.46309276399999999</c:v>
                </c:pt>
                <c:pt idx="29">
                  <c:v>0.723783387</c:v>
                </c:pt>
                <c:pt idx="30">
                  <c:v>0.90907336299999997</c:v>
                </c:pt>
                <c:pt idx="31">
                  <c:v>1.1739172369999999</c:v>
                </c:pt>
                <c:pt idx="32">
                  <c:v>1.265749569</c:v>
                </c:pt>
                <c:pt idx="33">
                  <c:v>1.1441823760000001</c:v>
                </c:pt>
                <c:pt idx="34">
                  <c:v>1.15454126</c:v>
                </c:pt>
                <c:pt idx="35">
                  <c:v>1.3258937559999999</c:v>
                </c:pt>
                <c:pt idx="36">
                  <c:v>1.593579713</c:v>
                </c:pt>
                <c:pt idx="37">
                  <c:v>1.846165619</c:v>
                </c:pt>
                <c:pt idx="38">
                  <c:v>2.6666155090000001</c:v>
                </c:pt>
                <c:pt idx="39">
                  <c:v>3.6747353519999999</c:v>
                </c:pt>
                <c:pt idx="40">
                  <c:v>4.1091671959999996</c:v>
                </c:pt>
                <c:pt idx="41">
                  <c:v>4.3316416110000002</c:v>
                </c:pt>
                <c:pt idx="42">
                  <c:v>4.5053746989999999</c:v>
                </c:pt>
                <c:pt idx="43">
                  <c:v>4.6078160309999996</c:v>
                </c:pt>
                <c:pt idx="44">
                  <c:v>4.7607714720000001</c:v>
                </c:pt>
                <c:pt idx="45">
                  <c:v>5.3612543529999996</c:v>
                </c:pt>
                <c:pt idx="46">
                  <c:v>5.9729151820000004</c:v>
                </c:pt>
                <c:pt idx="47">
                  <c:v>6.1793925630000004</c:v>
                </c:pt>
                <c:pt idx="48">
                  <c:v>6.3092107119999996</c:v>
                </c:pt>
                <c:pt idx="49">
                  <c:v>6.5914662210000001</c:v>
                </c:pt>
                <c:pt idx="50">
                  <c:v>6.9670752670000002</c:v>
                </c:pt>
                <c:pt idx="51">
                  <c:v>6.7015385759999999</c:v>
                </c:pt>
                <c:pt idx="52">
                  <c:v>6.8013754339999997</c:v>
                </c:pt>
                <c:pt idx="53">
                  <c:v>7.2488689449999999</c:v>
                </c:pt>
                <c:pt idx="54">
                  <c:v>6.7600091510000002</c:v>
                </c:pt>
                <c:pt idx="55">
                  <c:v>6.6368939119999997</c:v>
                </c:pt>
                <c:pt idx="56">
                  <c:v>6.6607903899999998</c:v>
                </c:pt>
                <c:pt idx="57">
                  <c:v>6.4565066240000002</c:v>
                </c:pt>
                <c:pt idx="58">
                  <c:v>6.0182943230000001</c:v>
                </c:pt>
                <c:pt idx="59">
                  <c:v>5.5087728680000003</c:v>
                </c:pt>
                <c:pt idx="60">
                  <c:v>5.5251117259999996</c:v>
                </c:pt>
                <c:pt idx="61">
                  <c:v>5.2093154400000001</c:v>
                </c:pt>
                <c:pt idx="62">
                  <c:v>4.4231323529999997</c:v>
                </c:pt>
                <c:pt idx="63">
                  <c:v>4.4625364620000001</c:v>
                </c:pt>
                <c:pt idx="64">
                  <c:v>3.9795052879999999</c:v>
                </c:pt>
                <c:pt idx="65">
                  <c:v>3.261568537</c:v>
                </c:pt>
                <c:pt idx="66">
                  <c:v>3.3738492400000002</c:v>
                </c:pt>
                <c:pt idx="67">
                  <c:v>3.3871215879999998</c:v>
                </c:pt>
                <c:pt idx="68">
                  <c:v>3.4163422140000002</c:v>
                </c:pt>
                <c:pt idx="69">
                  <c:v>2.9942913369999999</c:v>
                </c:pt>
                <c:pt idx="70">
                  <c:v>2.7017196609999998</c:v>
                </c:pt>
                <c:pt idx="71">
                  <c:v>2.7017896509999999</c:v>
                </c:pt>
                <c:pt idx="72">
                  <c:v>2.611611082</c:v>
                </c:pt>
                <c:pt idx="73">
                  <c:v>2.5904305660000002</c:v>
                </c:pt>
                <c:pt idx="74">
                  <c:v>2.8096325480000002</c:v>
                </c:pt>
                <c:pt idx="75">
                  <c:v>2.7206801700000001</c:v>
                </c:pt>
                <c:pt idx="76">
                  <c:v>2.567005161</c:v>
                </c:pt>
                <c:pt idx="77">
                  <c:v>2.4361688880000001</c:v>
                </c:pt>
                <c:pt idx="78">
                  <c:v>2.4544353970000001</c:v>
                </c:pt>
                <c:pt idx="79">
                  <c:v>2.2361840200000001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1-4486-B91A-65498208C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smooth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'202312'!$E$24:$E$28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C1-4486-B91A-65498208C079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C1-4486-B91A-65498208C079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'202408'!$E$36:$E$40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numCache>
            </c:numRef>
          </c:xVal>
          <c:yVal>
            <c:numRef>
              <c:f>'202408'!$H$36:$H$40</c:f>
              <c:numCache>
                <c:formatCode>General</c:formatCode>
                <c:ptCount val="5"/>
                <c:pt idx="0">
                  <c:v>1.4304196244</c:v>
                </c:pt>
                <c:pt idx="1">
                  <c:v>1.4537803713999999</c:v>
                </c:pt>
                <c:pt idx="2">
                  <c:v>1.4771411184000001</c:v>
                </c:pt>
                <c:pt idx="3">
                  <c:v>1.5005018654</c:v>
                </c:pt>
                <c:pt idx="4">
                  <c:v>1.5238626124000001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C1-4486-B91A-65498208C079}"/>
            </c:ext>
          </c:extLst>
        </c:ser>
        <c:ser>
          <c:idx val="3"/>
          <c:order val="3"/>
          <c:tx>
            <c:strRef>
              <c:f>'202408'!$A$41</c:f>
              <c:strCache>
                <c:ptCount val="1"/>
                <c:pt idx="0">
                  <c:v>2019-06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'202408'!$E$41:$E$45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xVal>
          <c:yVal>
            <c:numRef>
              <c:f>'202408'!$H$41:$H$45</c:f>
              <c:numCache>
                <c:formatCode>General</c:formatCode>
                <c:ptCount val="5"/>
                <c:pt idx="0">
                  <c:v>1.4655818102</c:v>
                </c:pt>
                <c:pt idx="1">
                  <c:v>1.4210835933999999</c:v>
                </c:pt>
                <c:pt idx="2">
                  <c:v>1.3765853766</c:v>
                </c:pt>
                <c:pt idx="3">
                  <c:v>1.3320871597999999</c:v>
                </c:pt>
                <c:pt idx="4">
                  <c:v>1.287588943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C1-4486-B91A-65498208C079}"/>
            </c:ext>
          </c:extLst>
        </c:ser>
        <c:ser>
          <c:idx val="4"/>
          <c:order val="4"/>
          <c:tx>
            <c:strRef>
              <c:f>'202408'!$A$46</c:f>
              <c:strCache>
                <c:ptCount val="1"/>
                <c:pt idx="0">
                  <c:v>2019-11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'202408'!$E$46:$E$53</c:f>
              <c:numCache>
                <c:formatCode>General</c:formatCode>
                <c:ptCount val="8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'202408'!$H$46:$H$53</c:f>
              <c:numCache>
                <c:formatCode>General</c:formatCode>
                <c:ptCount val="8"/>
                <c:pt idx="0">
                  <c:v>1.7312877777</c:v>
                </c:pt>
                <c:pt idx="1">
                  <c:v>1.5609958544</c:v>
                </c:pt>
                <c:pt idx="2">
                  <c:v>1.3907039311</c:v>
                </c:pt>
                <c:pt idx="3">
                  <c:v>1.2204120079</c:v>
                </c:pt>
                <c:pt idx="4">
                  <c:v>1.0501200846000001</c:v>
                </c:pt>
                <c:pt idx="5">
                  <c:v>0.87982816139999998</c:v>
                </c:pt>
                <c:pt idx="6">
                  <c:v>0.70953623809999999</c:v>
                </c:pt>
                <c:pt idx="7">
                  <c:v>0.53924431480000001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5C1-4486-B91A-65498208C079}"/>
            </c:ext>
          </c:extLst>
        </c:ser>
        <c:ser>
          <c:idx val="5"/>
          <c:order val="5"/>
          <c:tx>
            <c:strRef>
              <c:f>'202408'!$A$54</c:f>
              <c:strCache>
                <c:ptCount val="1"/>
                <c:pt idx="0">
                  <c:v>2020-07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'202408'!$E$54:$E$61</c:f>
              <c:numCache>
                <c:formatCode>General</c:formatCode>
                <c:ptCount val="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</c:numCache>
            </c:numRef>
          </c:xVal>
          <c:yVal>
            <c:numRef>
              <c:f>'202408'!$H$54:$H$61</c:f>
              <c:numCache>
                <c:formatCode>General</c:formatCode>
                <c:ptCount val="8"/>
                <c:pt idx="0">
                  <c:v>0.93293996089999998</c:v>
                </c:pt>
                <c:pt idx="1">
                  <c:v>1.0382822183</c:v>
                </c:pt>
                <c:pt idx="2">
                  <c:v>1.1436244756</c:v>
                </c:pt>
                <c:pt idx="3">
                  <c:v>1.2489667330000001</c:v>
                </c:pt>
                <c:pt idx="4">
                  <c:v>1.3543089903000001</c:v>
                </c:pt>
                <c:pt idx="5">
                  <c:v>1.4596512476000001</c:v>
                </c:pt>
                <c:pt idx="6">
                  <c:v>1.5649935049999999</c:v>
                </c:pt>
                <c:pt idx="7">
                  <c:v>1.6703357622999999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5C1-4486-B91A-65498208C079}"/>
            </c:ext>
          </c:extLst>
        </c:ser>
        <c:ser>
          <c:idx val="6"/>
          <c:order val="6"/>
          <c:tx>
            <c:strRef>
              <c:f>'202408'!$A$62</c:f>
              <c:strCache>
                <c:ptCount val="1"/>
                <c:pt idx="0">
                  <c:v>2021-03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'202408'!$E$62:$E$66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</c:numCache>
            </c:numRef>
          </c:xVal>
          <c:yVal>
            <c:numRef>
              <c:f>'202408'!$H$62:$H$66</c:f>
              <c:numCache>
                <c:formatCode>General</c:formatCode>
                <c:ptCount val="5"/>
                <c:pt idx="0">
                  <c:v>2.9906219456000001</c:v>
                </c:pt>
                <c:pt idx="1">
                  <c:v>3.4240644095000001</c:v>
                </c:pt>
                <c:pt idx="2">
                  <c:v>3.8575068734000002</c:v>
                </c:pt>
                <c:pt idx="3">
                  <c:v>4.2909493372999998</c:v>
                </c:pt>
                <c:pt idx="4">
                  <c:v>4.7243918012000004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5C1-4486-B91A-65498208C079}"/>
            </c:ext>
          </c:extLst>
        </c:ser>
        <c:ser>
          <c:idx val="7"/>
          <c:order val="7"/>
          <c:tx>
            <c:strRef>
              <c:f>'202408'!$A$67</c:f>
              <c:strCache>
                <c:ptCount val="1"/>
                <c:pt idx="0">
                  <c:v>2021-08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'202408'!$E$67:$E$71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'202408'!$H$67:$H$71</c:f>
              <c:numCache>
                <c:formatCode>General</c:formatCode>
                <c:ptCount val="5"/>
                <c:pt idx="0">
                  <c:v>4.5053705653999998</c:v>
                </c:pt>
                <c:pt idx="1">
                  <c:v>4.9409002427999997</c:v>
                </c:pt>
                <c:pt idx="2">
                  <c:v>5.3764299201999997</c:v>
                </c:pt>
                <c:pt idx="3">
                  <c:v>5.8119595975999996</c:v>
                </c:pt>
                <c:pt idx="4">
                  <c:v>6.2474892750000004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5C1-4486-B91A-65498208C079}"/>
            </c:ext>
          </c:extLst>
        </c:ser>
        <c:ser>
          <c:idx val="8"/>
          <c:order val="8"/>
          <c:tx>
            <c:strRef>
              <c:f>'202408'!$A$72</c:f>
              <c:strCache>
                <c:ptCount val="1"/>
                <c:pt idx="0">
                  <c:v>2022-01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'202408'!$E$72:$E$77</c:f>
              <c:numCache>
                <c:formatCode>General</c:formatCod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</c:numCache>
            </c:numRef>
          </c:xVal>
          <c:yVal>
            <c:numRef>
              <c:f>'202408'!$H$72:$H$77</c:f>
              <c:numCache>
                <c:formatCode>General</c:formatCode>
                <c:ptCount val="6"/>
                <c:pt idx="0">
                  <c:v>6.4083166605999997</c:v>
                </c:pt>
                <c:pt idx="1">
                  <c:v>6.5529590067000001</c:v>
                </c:pt>
                <c:pt idx="2">
                  <c:v>6.6976013527999996</c:v>
                </c:pt>
                <c:pt idx="3">
                  <c:v>6.8422436988999999</c:v>
                </c:pt>
                <c:pt idx="4">
                  <c:v>6.9868860450000003</c:v>
                </c:pt>
                <c:pt idx="5">
                  <c:v>7.1315283909999998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5C1-4486-B91A-65498208C079}"/>
            </c:ext>
          </c:extLst>
        </c:ser>
        <c:ser>
          <c:idx val="10"/>
          <c:order val="9"/>
          <c:tx>
            <c:strRef>
              <c:f>'202408'!$A$78</c:f>
              <c:strCache>
                <c:ptCount val="1"/>
                <c:pt idx="0">
                  <c:v>2022-07</c:v>
                </c:pt>
              </c:strCache>
            </c:strRef>
          </c:tx>
          <c:marker>
            <c:symbol val="none"/>
          </c:marker>
          <c:xVal>
            <c:numRef>
              <c:f>'202408'!$E$78:$E$85</c:f>
              <c:numCache>
                <c:formatCode>General</c:formatCode>
                <c:ptCount val="8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</c:numCache>
            </c:numRef>
          </c:xVal>
          <c:yVal>
            <c:numRef>
              <c:f>'202408'!$H$78:$H$85</c:f>
              <c:numCache>
                <c:formatCode>General</c:formatCode>
                <c:ptCount val="8"/>
                <c:pt idx="0">
                  <c:v>6.9431297947999999</c:v>
                </c:pt>
                <c:pt idx="1">
                  <c:v>6.7013675118</c:v>
                </c:pt>
                <c:pt idx="2">
                  <c:v>6.4596052288000001</c:v>
                </c:pt>
                <c:pt idx="3">
                  <c:v>6.2178429458000002</c:v>
                </c:pt>
                <c:pt idx="4">
                  <c:v>5.9760806627000003</c:v>
                </c:pt>
                <c:pt idx="5">
                  <c:v>5.7343183797000004</c:v>
                </c:pt>
                <c:pt idx="6">
                  <c:v>5.4925560966999996</c:v>
                </c:pt>
                <c:pt idx="7">
                  <c:v>5.2507938136999996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5C1-4486-B91A-65498208C079}"/>
            </c:ext>
          </c:extLst>
        </c:ser>
        <c:ser>
          <c:idx val="11"/>
          <c:order val="10"/>
          <c:tx>
            <c:strRef>
              <c:f>'202408'!$A$86</c:f>
              <c:strCache>
                <c:ptCount val="1"/>
                <c:pt idx="0">
                  <c:v>2023-03</c:v>
                </c:pt>
              </c:strCache>
            </c:strRef>
          </c:tx>
          <c:marker>
            <c:symbol val="none"/>
          </c:marker>
          <c:xVal>
            <c:numRef>
              <c:f>'202408'!$E$86:$E$90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xVal>
          <c:yVal>
            <c:numRef>
              <c:f>'202408'!$H$86:$H$90</c:f>
              <c:numCache>
                <c:formatCode>General</c:formatCode>
                <c:ptCount val="5"/>
                <c:pt idx="0">
                  <c:v>4.5600252061999997</c:v>
                </c:pt>
                <c:pt idx="1">
                  <c:v>4.2300717911000003</c:v>
                </c:pt>
                <c:pt idx="2">
                  <c:v>3.900118376</c:v>
                </c:pt>
                <c:pt idx="3">
                  <c:v>3.5701649609000001</c:v>
                </c:pt>
                <c:pt idx="4">
                  <c:v>3.2402115457999998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5C1-4486-B91A-65498208C079}"/>
            </c:ext>
          </c:extLst>
        </c:ser>
        <c:ser>
          <c:idx val="12"/>
          <c:order val="11"/>
          <c:tx>
            <c:strRef>
              <c:f>'202408'!$A$91</c:f>
              <c:strCache>
                <c:ptCount val="1"/>
                <c:pt idx="0">
                  <c:v>2023-08</c:v>
                </c:pt>
              </c:strCache>
            </c:strRef>
          </c:tx>
          <c:marker>
            <c:symbol val="none"/>
          </c:marker>
          <c:xVal>
            <c:numRef>
              <c:f>'202408'!$E$91:$E$95</c:f>
              <c:numCache>
                <c:formatCode>General</c:formatCode>
                <c:ptCount val="5"/>
                <c:pt idx="0">
                  <c:v>68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</c:numCache>
            </c:numRef>
          </c:xVal>
          <c:yVal>
            <c:numRef>
              <c:f>'202408'!$H$91:$H$95</c:f>
              <c:numCache>
                <c:formatCode>General</c:formatCode>
                <c:ptCount val="5"/>
                <c:pt idx="0">
                  <c:v>3.4573101756</c:v>
                </c:pt>
                <c:pt idx="1">
                  <c:v>3.2487815328999998</c:v>
                </c:pt>
                <c:pt idx="2">
                  <c:v>3.0402528902000001</c:v>
                </c:pt>
                <c:pt idx="3">
                  <c:v>2.8317242475</c:v>
                </c:pt>
                <c:pt idx="4">
                  <c:v>2.6231956047999998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5C1-4486-B91A-65498208C079}"/>
            </c:ext>
          </c:extLst>
        </c:ser>
        <c:ser>
          <c:idx val="13"/>
          <c:order val="12"/>
          <c:tx>
            <c:strRef>
              <c:f>'202408'!$A$96</c:f>
              <c:strCache>
                <c:ptCount val="1"/>
                <c:pt idx="0">
                  <c:v>2024-01</c:v>
                </c:pt>
              </c:strCache>
            </c:strRef>
          </c:tx>
          <c:marker>
            <c:symbol val="none"/>
          </c:marker>
          <c:xVal>
            <c:numRef>
              <c:f>'202408'!$E$96:$E$103</c:f>
              <c:numCache>
                <c:formatCode>General</c:formatCode>
                <c:ptCount val="8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</c:numCache>
            </c:numRef>
          </c:xVal>
          <c:yVal>
            <c:numRef>
              <c:f>'202408'!$H$96:$H$103</c:f>
              <c:numCache>
                <c:formatCode>General</c:formatCode>
                <c:ptCount val="8"/>
                <c:pt idx="0">
                  <c:v>2.7441864484999998</c:v>
                </c:pt>
                <c:pt idx="1">
                  <c:v>2.6896384572000001</c:v>
                </c:pt>
                <c:pt idx="2">
                  <c:v>2.6350904658999998</c:v>
                </c:pt>
                <c:pt idx="3">
                  <c:v>2.5805424746000001</c:v>
                </c:pt>
                <c:pt idx="4">
                  <c:v>2.5259944833999999</c:v>
                </c:pt>
                <c:pt idx="5">
                  <c:v>2.4714464921000001</c:v>
                </c:pt>
                <c:pt idx="6">
                  <c:v>2.4168985007999999</c:v>
                </c:pt>
                <c:pt idx="7">
                  <c:v>2.3623505095000001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5C1-4486-B91A-65498208C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442862071525583"/>
          <c:y val="5.5208786715730887E-2"/>
          <c:w val="0.24893244417659108"/>
          <c:h val="0.885394821878421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9"/>
          <c:order val="10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'202407'!$A$24:$A$102</c:f>
              <c:numCache>
                <c:formatCode>yyyy\-mm</c:formatCode>
                <c:ptCount val="79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</c:numCache>
            </c:numRef>
          </c:cat>
          <c:val>
            <c:numRef>
              <c:f>'202407'!$G$24:$G$102</c:f>
              <c:numCache>
                <c:formatCode>General</c:formatCode>
                <c:ptCount val="79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1.4970503660000001</c:v>
                </c:pt>
                <c:pt idx="13">
                  <c:v>1.425810523</c:v>
                </c:pt>
                <c:pt idx="14">
                  <c:v>1.509002797</c:v>
                </c:pt>
                <c:pt idx="15">
                  <c:v>1.5771475740000001</c:v>
                </c:pt>
                <c:pt idx="16">
                  <c:v>1.4567249680000001</c:v>
                </c:pt>
                <c:pt idx="17">
                  <c:v>1.411363436</c:v>
                </c:pt>
                <c:pt idx="18">
                  <c:v>1.4402224459999999</c:v>
                </c:pt>
                <c:pt idx="19">
                  <c:v>1.4216108329999999</c:v>
                </c:pt>
                <c:pt idx="20">
                  <c:v>1.3044582010000001</c:v>
                </c:pt>
                <c:pt idx="21">
                  <c:v>1.3314489009999999</c:v>
                </c:pt>
                <c:pt idx="22">
                  <c:v>1.33196921</c:v>
                </c:pt>
                <c:pt idx="23">
                  <c:v>1.5394202589999999</c:v>
                </c:pt>
                <c:pt idx="24">
                  <c:v>1.6979184919999999</c:v>
                </c:pt>
                <c:pt idx="25">
                  <c:v>1.6420057939999999</c:v>
                </c:pt>
                <c:pt idx="26">
                  <c:v>1.146949231</c:v>
                </c:pt>
                <c:pt idx="27">
                  <c:v>0.41114045500000002</c:v>
                </c:pt>
                <c:pt idx="28">
                  <c:v>0.44862993800000001</c:v>
                </c:pt>
                <c:pt idx="29">
                  <c:v>0.70552532599999995</c:v>
                </c:pt>
                <c:pt idx="30">
                  <c:v>0.90050961299999999</c:v>
                </c:pt>
                <c:pt idx="31">
                  <c:v>1.1653370119999999</c:v>
                </c:pt>
                <c:pt idx="32">
                  <c:v>1.247180832</c:v>
                </c:pt>
                <c:pt idx="33">
                  <c:v>1.118688739</c:v>
                </c:pt>
                <c:pt idx="34">
                  <c:v>1.153879439</c:v>
                </c:pt>
                <c:pt idx="35">
                  <c:v>1.3664870259999999</c:v>
                </c:pt>
                <c:pt idx="36">
                  <c:v>1.615003159</c:v>
                </c:pt>
                <c:pt idx="37">
                  <c:v>1.88520435</c:v>
                </c:pt>
                <c:pt idx="38">
                  <c:v>2.7130221219999999</c:v>
                </c:pt>
                <c:pt idx="39">
                  <c:v>3.7246136650000001</c:v>
                </c:pt>
                <c:pt idx="40">
                  <c:v>4.1553566269999997</c:v>
                </c:pt>
                <c:pt idx="41">
                  <c:v>4.3724028060000002</c:v>
                </c:pt>
                <c:pt idx="42">
                  <c:v>4.5331496729999996</c:v>
                </c:pt>
                <c:pt idx="43">
                  <c:v>4.6448426129999998</c:v>
                </c:pt>
                <c:pt idx="44">
                  <c:v>4.8054222830000004</c:v>
                </c:pt>
                <c:pt idx="45">
                  <c:v>5.4069479850000004</c:v>
                </c:pt>
                <c:pt idx="46">
                  <c:v>5.9859121460000004</c:v>
                </c:pt>
                <c:pt idx="47">
                  <c:v>6.1802908040000002</c:v>
                </c:pt>
                <c:pt idx="48">
                  <c:v>6.2970464929999999</c:v>
                </c:pt>
                <c:pt idx="49">
                  <c:v>6.5470043750000002</c:v>
                </c:pt>
                <c:pt idx="50">
                  <c:v>6.8929445390000001</c:v>
                </c:pt>
                <c:pt idx="51">
                  <c:v>6.6197915700000003</c:v>
                </c:pt>
                <c:pt idx="52">
                  <c:v>6.6899553630000002</c:v>
                </c:pt>
                <c:pt idx="53">
                  <c:v>7.1169141649999998</c:v>
                </c:pt>
                <c:pt idx="54">
                  <c:v>6.6169472909999998</c:v>
                </c:pt>
                <c:pt idx="55">
                  <c:v>6.515400036</c:v>
                </c:pt>
                <c:pt idx="56">
                  <c:v>6.5560964979999996</c:v>
                </c:pt>
                <c:pt idx="57">
                  <c:v>6.3479171179999998</c:v>
                </c:pt>
                <c:pt idx="58">
                  <c:v>5.9285701470000003</c:v>
                </c:pt>
                <c:pt idx="59">
                  <c:v>5.4419101919999999</c:v>
                </c:pt>
                <c:pt idx="60">
                  <c:v>5.4790878230000004</c:v>
                </c:pt>
                <c:pt idx="61">
                  <c:v>5.1896102070000003</c:v>
                </c:pt>
                <c:pt idx="62">
                  <c:v>4.4422697170000003</c:v>
                </c:pt>
                <c:pt idx="63">
                  <c:v>4.4464190820000002</c:v>
                </c:pt>
                <c:pt idx="64">
                  <c:v>3.9620255360000001</c:v>
                </c:pt>
                <c:pt idx="65">
                  <c:v>3.1984205330000002</c:v>
                </c:pt>
                <c:pt idx="66">
                  <c:v>3.3147084819999999</c:v>
                </c:pt>
                <c:pt idx="67">
                  <c:v>3.3475917530000001</c:v>
                </c:pt>
                <c:pt idx="68">
                  <c:v>3.369589307</c:v>
                </c:pt>
                <c:pt idx="69">
                  <c:v>2.9420749819999998</c:v>
                </c:pt>
                <c:pt idx="70">
                  <c:v>2.7027027029999999</c:v>
                </c:pt>
                <c:pt idx="71">
                  <c:v>2.6193936529999999</c:v>
                </c:pt>
                <c:pt idx="72">
                  <c:v>2.4829637600000001</c:v>
                </c:pt>
                <c:pt idx="73">
                  <c:v>2.49694269</c:v>
                </c:pt>
                <c:pt idx="74">
                  <c:v>2.7206559019999998</c:v>
                </c:pt>
                <c:pt idx="75">
                  <c:v>2.6773873369999999</c:v>
                </c:pt>
                <c:pt idx="76">
                  <c:v>2.5762372939999998</c:v>
                </c:pt>
                <c:pt idx="77">
                  <c:v>2.4671230479999999</c:v>
                </c:pt>
                <c:pt idx="78">
                  <c:v>2.4964070020000002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3-4EB4-B23B-349C8DD3A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'202312'!$E$24:$E$28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03-4EB4-B23B-349C8DD3A519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03-4EB4-B23B-349C8DD3A519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'202312'!$E$36:$E$46</c:f>
              <c:numCache>
                <c:formatCode>General</c:formatCode>
                <c:ptCount val="11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</c:numCache>
            </c:numRef>
          </c:xVal>
          <c:yVal>
            <c:numRef>
              <c:f>'202312'!$H$36:$H$46</c:f>
              <c:numCache>
                <c:formatCode>General</c:formatCode>
                <c:ptCount val="11"/>
                <c:pt idx="0">
                  <c:v>1.5253491168</c:v>
                </c:pt>
                <c:pt idx="1">
                  <c:v>1.5058576435</c:v>
                </c:pt>
                <c:pt idx="2">
                  <c:v>1.4863661703</c:v>
                </c:pt>
                <c:pt idx="3">
                  <c:v>1.4668746969999999</c:v>
                </c:pt>
                <c:pt idx="4">
                  <c:v>1.4473832236999999</c:v>
                </c:pt>
                <c:pt idx="5">
                  <c:v>1.4278917504999999</c:v>
                </c:pt>
                <c:pt idx="6">
                  <c:v>1.4084002771999999</c:v>
                </c:pt>
                <c:pt idx="7">
                  <c:v>1.3889088038999999</c:v>
                </c:pt>
                <c:pt idx="8">
                  <c:v>1.3694173305999999</c:v>
                </c:pt>
                <c:pt idx="9">
                  <c:v>1.3499258573999999</c:v>
                </c:pt>
                <c:pt idx="10">
                  <c:v>1.3304343840999999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03-4EB4-B23B-349C8DD3A519}"/>
            </c:ext>
          </c:extLst>
        </c:ser>
        <c:ser>
          <c:idx val="3"/>
          <c:order val="3"/>
          <c:tx>
            <c:strRef>
              <c:f>'202312'!$A$47</c:f>
              <c:strCache>
                <c:ptCount val="1"/>
                <c:pt idx="0">
                  <c:v>2019-12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'202312'!$E$47:$E$52</c:f>
              <c:numCache>
                <c:formatCode>General</c:formatCode>
                <c:ptCount val="6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</c:numCache>
            </c:numRef>
          </c:xVal>
          <c:yVal>
            <c:numRef>
              <c:f>'202312'!$H$47:$H$52</c:f>
              <c:numCache>
                <c:formatCode>General</c:formatCode>
                <c:ptCount val="6"/>
                <c:pt idx="0">
                  <c:v>1.8483446670999999</c:v>
                </c:pt>
                <c:pt idx="1">
                  <c:v>1.5680777449000001</c:v>
                </c:pt>
                <c:pt idx="2">
                  <c:v>1.2878108226</c:v>
                </c:pt>
                <c:pt idx="3">
                  <c:v>1.0075439004</c:v>
                </c:pt>
                <c:pt idx="4">
                  <c:v>0.72727697810000003</c:v>
                </c:pt>
                <c:pt idx="5">
                  <c:v>0.44701005589999998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03-4EB4-B23B-349C8DD3A519}"/>
            </c:ext>
          </c:extLst>
        </c:ser>
        <c:ser>
          <c:idx val="4"/>
          <c:order val="4"/>
          <c:tx>
            <c:strRef>
              <c:f>'202312'!$A$53</c:f>
              <c:strCache>
                <c:ptCount val="1"/>
                <c:pt idx="0">
                  <c:v>2020-06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'202312'!$E$53:$E$57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</c:numCache>
            </c:numRef>
          </c:xVal>
          <c:yVal>
            <c:numRef>
              <c:f>'202312'!$H$53:$H$57</c:f>
              <c:numCache>
                <c:formatCode>General</c:formatCode>
                <c:ptCount val="5"/>
                <c:pt idx="0">
                  <c:v>0.79284869540000003</c:v>
                </c:pt>
                <c:pt idx="1">
                  <c:v>0.91014849990000002</c:v>
                </c:pt>
                <c:pt idx="2">
                  <c:v>1.0274483044</c:v>
                </c:pt>
                <c:pt idx="3">
                  <c:v>1.1447481089</c:v>
                </c:pt>
                <c:pt idx="4">
                  <c:v>1.2620479134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03-4EB4-B23B-349C8DD3A519}"/>
            </c:ext>
          </c:extLst>
        </c:ser>
        <c:ser>
          <c:idx val="5"/>
          <c:order val="5"/>
          <c:tx>
            <c:strRef>
              <c:f>'202312'!$A$58</c:f>
              <c:strCache>
                <c:ptCount val="1"/>
                <c:pt idx="0">
                  <c:v>2020-11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'202312'!$E$58:$E$62</c:f>
              <c:numCache>
                <c:formatCode>General</c:formatCode>
                <c:ptCount val="5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</c:numCache>
            </c:numRef>
          </c:xVal>
          <c:yVal>
            <c:numRef>
              <c:f>'202312'!$H$58:$H$62</c:f>
              <c:numCache>
                <c:formatCode>General</c:formatCode>
                <c:ptCount val="5"/>
                <c:pt idx="0">
                  <c:v>1.0193186811999999</c:v>
                </c:pt>
                <c:pt idx="1">
                  <c:v>1.3830189502000001</c:v>
                </c:pt>
                <c:pt idx="2">
                  <c:v>1.7467192192000001</c:v>
                </c:pt>
                <c:pt idx="3">
                  <c:v>2.1104194881999998</c:v>
                </c:pt>
                <c:pt idx="4">
                  <c:v>2.4741197572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703-4EB4-B23B-349C8DD3A519}"/>
            </c:ext>
          </c:extLst>
        </c:ser>
        <c:ser>
          <c:idx val="6"/>
          <c:order val="6"/>
          <c:tx>
            <c:strRef>
              <c:f>'202312'!$A$63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'202312'!$E$63:$E$68</c:f>
              <c:numCache>
                <c:formatCode>General</c:formatCode>
                <c:ptCount val="6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</c:numCache>
            </c:numRef>
          </c:xVal>
          <c:yVal>
            <c:numRef>
              <c:f>'202312'!$H$63:$H$68</c:f>
              <c:numCache>
                <c:formatCode>General</c:formatCode>
                <c:ptCount val="6"/>
                <c:pt idx="0">
                  <c:v>3.8702564268000001</c:v>
                </c:pt>
                <c:pt idx="1">
                  <c:v>4.0712063672000003</c:v>
                </c:pt>
                <c:pt idx="2">
                  <c:v>4.2721563076000004</c:v>
                </c:pt>
                <c:pt idx="3">
                  <c:v>4.4731062479999997</c:v>
                </c:pt>
                <c:pt idx="4">
                  <c:v>4.6740561884999998</c:v>
                </c:pt>
                <c:pt idx="5">
                  <c:v>4.8750061289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703-4EB4-B23B-349C8DD3A519}"/>
            </c:ext>
          </c:extLst>
        </c:ser>
        <c:ser>
          <c:idx val="7"/>
          <c:order val="7"/>
          <c:tx>
            <c:strRef>
              <c:f>'202312'!$A$69</c:f>
              <c:strCache>
                <c:ptCount val="1"/>
                <c:pt idx="0">
                  <c:v>2021-10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'202312'!$E$69:$E$74</c:f>
              <c:numCache>
                <c:formatCode>General</c:formatCode>
                <c:ptCount val="6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</c:numCache>
            </c:numRef>
          </c:xVal>
          <c:yVal>
            <c:numRef>
              <c:f>'202312'!$H$69:$H$74</c:f>
              <c:numCache>
                <c:formatCode>General</c:formatCode>
                <c:ptCount val="6"/>
                <c:pt idx="0">
                  <c:v>5.5590709274999996</c:v>
                </c:pt>
                <c:pt idx="1">
                  <c:v>5.8227856459999998</c:v>
                </c:pt>
                <c:pt idx="2">
                  <c:v>6.0865003644</c:v>
                </c:pt>
                <c:pt idx="3">
                  <c:v>6.3502150829000001</c:v>
                </c:pt>
                <c:pt idx="4">
                  <c:v>6.6139298014000003</c:v>
                </c:pt>
                <c:pt idx="5">
                  <c:v>6.8776445197999996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703-4EB4-B23B-349C8DD3A519}"/>
            </c:ext>
          </c:extLst>
        </c:ser>
        <c:ser>
          <c:idx val="8"/>
          <c:order val="8"/>
          <c:tx>
            <c:strRef>
              <c:f>'202403'!$A$75</c:f>
              <c:strCache>
                <c:ptCount val="1"/>
                <c:pt idx="0">
                  <c:v>2022-04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'202407'!$E$75:$E$97</c:f>
              <c:numCache>
                <c:formatCode>General</c:formatCode>
                <c:ptCount val="23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</c:numCache>
            </c:numRef>
          </c:xVal>
          <c:yVal>
            <c:numRef>
              <c:f>'202407'!$H$75:$H$97</c:f>
              <c:numCache>
                <c:formatCode>General</c:formatCode>
                <c:ptCount val="23"/>
                <c:pt idx="0">
                  <c:v>7.2893400233000003</c:v>
                </c:pt>
                <c:pt idx="1">
                  <c:v>7.0528676203999998</c:v>
                </c:pt>
                <c:pt idx="2">
                  <c:v>6.8163952175000002</c:v>
                </c:pt>
                <c:pt idx="3">
                  <c:v>6.5799228145999997</c:v>
                </c:pt>
                <c:pt idx="4">
                  <c:v>6.3434504118000001</c:v>
                </c:pt>
                <c:pt idx="5">
                  <c:v>6.1069780088999996</c:v>
                </c:pt>
                <c:pt idx="6">
                  <c:v>5.870505606</c:v>
                </c:pt>
                <c:pt idx="7">
                  <c:v>5.6340332031000004</c:v>
                </c:pt>
                <c:pt idx="8">
                  <c:v>5.3975608003</c:v>
                </c:pt>
                <c:pt idx="9">
                  <c:v>5.1610883974000004</c:v>
                </c:pt>
                <c:pt idx="10">
                  <c:v>4.9246159944999999</c:v>
                </c:pt>
                <c:pt idx="11">
                  <c:v>4.6881435917000003</c:v>
                </c:pt>
                <c:pt idx="12">
                  <c:v>4.4516711887999998</c:v>
                </c:pt>
                <c:pt idx="13">
                  <c:v>4.2151987859000002</c:v>
                </c:pt>
                <c:pt idx="14">
                  <c:v>3.9787263830000001</c:v>
                </c:pt>
                <c:pt idx="15">
                  <c:v>3.7422539802000001</c:v>
                </c:pt>
                <c:pt idx="16">
                  <c:v>3.5057815773000001</c:v>
                </c:pt>
                <c:pt idx="17">
                  <c:v>3.2693091744</c:v>
                </c:pt>
                <c:pt idx="18">
                  <c:v>3.0328367715</c:v>
                </c:pt>
                <c:pt idx="19">
                  <c:v>2.7963643686999999</c:v>
                </c:pt>
                <c:pt idx="20">
                  <c:v>2.5598919657999999</c:v>
                </c:pt>
                <c:pt idx="21">
                  <c:v>2.3234195628999998</c:v>
                </c:pt>
                <c:pt idx="22">
                  <c:v>2.0869471600999998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703-4EB4-B23B-349C8DD3A519}"/>
            </c:ext>
          </c:extLst>
        </c:ser>
        <c:ser>
          <c:idx val="10"/>
          <c:order val="9"/>
          <c:tx>
            <c:strRef>
              <c:f>'202407'!$A$98</c:f>
              <c:strCache>
                <c:ptCount val="1"/>
                <c:pt idx="0">
                  <c:v>2024-03</c:v>
                </c:pt>
              </c:strCache>
            </c:strRef>
          </c:tx>
          <c:xVal>
            <c:numRef>
              <c:f>'202407'!$E$98:$E$102</c:f>
              <c:numCache>
                <c:formatCode>General</c:formatCode>
                <c:ptCount val="5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</c:numCache>
            </c:numRef>
          </c:xVal>
          <c:yVal>
            <c:numRef>
              <c:f>'202407'!$H$98:$H$102</c:f>
              <c:numCache>
                <c:formatCode>General</c:formatCode>
                <c:ptCount val="5"/>
                <c:pt idx="0">
                  <c:v>2.7193145344</c:v>
                </c:pt>
                <c:pt idx="1">
                  <c:v>2.6534383254999998</c:v>
                </c:pt>
                <c:pt idx="2">
                  <c:v>2.5875621166</c:v>
                </c:pt>
                <c:pt idx="3">
                  <c:v>2.5216859076999998</c:v>
                </c:pt>
                <c:pt idx="4">
                  <c:v>2.4558096988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703-4EB4-B23B-349C8DD3A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914260717410324E-2"/>
          <c:y val="4.6121593291404611E-2"/>
          <c:w val="0.73007174103237082"/>
          <c:h val="0.77640139322207369"/>
        </c:manualLayout>
      </c:layout>
      <c:lineChart>
        <c:grouping val="standard"/>
        <c:varyColors val="0"/>
        <c:ser>
          <c:idx val="7"/>
          <c:order val="7"/>
          <c:tx>
            <c:v>美國PCE物價指數年增率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'202406'!$A$24:$A$101</c:f>
              <c:numCache>
                <c:formatCode>yyyy\-mm</c:formatCode>
                <c:ptCount val="7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</c:numCache>
            </c:numRef>
          </c:cat>
          <c:val>
            <c:numRef>
              <c:f>'202406'!$G$24:$G$101</c:f>
              <c:numCache>
                <c:formatCode>General</c:formatCode>
                <c:ptCount val="78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1.4970503660000001</c:v>
                </c:pt>
                <c:pt idx="13">
                  <c:v>1.425810523</c:v>
                </c:pt>
                <c:pt idx="14">
                  <c:v>1.509002797</c:v>
                </c:pt>
                <c:pt idx="15">
                  <c:v>1.5771475740000001</c:v>
                </c:pt>
                <c:pt idx="16">
                  <c:v>1.4567249680000001</c:v>
                </c:pt>
                <c:pt idx="17">
                  <c:v>1.411363436</c:v>
                </c:pt>
                <c:pt idx="18">
                  <c:v>1.4402224459999999</c:v>
                </c:pt>
                <c:pt idx="19">
                  <c:v>1.4216108329999999</c:v>
                </c:pt>
                <c:pt idx="20">
                  <c:v>1.3044582010000001</c:v>
                </c:pt>
                <c:pt idx="21">
                  <c:v>1.3314489009999999</c:v>
                </c:pt>
                <c:pt idx="22">
                  <c:v>1.33196921</c:v>
                </c:pt>
                <c:pt idx="23">
                  <c:v>1.5394202589999999</c:v>
                </c:pt>
                <c:pt idx="24">
                  <c:v>1.6979184919999999</c:v>
                </c:pt>
                <c:pt idx="25">
                  <c:v>1.6420057939999999</c:v>
                </c:pt>
                <c:pt idx="26">
                  <c:v>1.146949231</c:v>
                </c:pt>
                <c:pt idx="27">
                  <c:v>0.41114045500000002</c:v>
                </c:pt>
                <c:pt idx="28">
                  <c:v>0.44862993800000001</c:v>
                </c:pt>
                <c:pt idx="29">
                  <c:v>0.70552532599999995</c:v>
                </c:pt>
                <c:pt idx="30">
                  <c:v>0.90050961299999999</c:v>
                </c:pt>
                <c:pt idx="31">
                  <c:v>1.1653370119999999</c:v>
                </c:pt>
                <c:pt idx="32">
                  <c:v>1.247180832</c:v>
                </c:pt>
                <c:pt idx="33">
                  <c:v>1.118688739</c:v>
                </c:pt>
                <c:pt idx="34">
                  <c:v>1.153879439</c:v>
                </c:pt>
                <c:pt idx="35">
                  <c:v>1.3664870259999999</c:v>
                </c:pt>
                <c:pt idx="36">
                  <c:v>1.615003159</c:v>
                </c:pt>
                <c:pt idx="37">
                  <c:v>1.88520435</c:v>
                </c:pt>
                <c:pt idx="38">
                  <c:v>2.7130221219999999</c:v>
                </c:pt>
                <c:pt idx="39">
                  <c:v>3.7246136650000001</c:v>
                </c:pt>
                <c:pt idx="40">
                  <c:v>4.1553566269999997</c:v>
                </c:pt>
                <c:pt idx="41">
                  <c:v>4.3724028060000002</c:v>
                </c:pt>
                <c:pt idx="42">
                  <c:v>4.5331496729999996</c:v>
                </c:pt>
                <c:pt idx="43">
                  <c:v>4.6448426129999998</c:v>
                </c:pt>
                <c:pt idx="44">
                  <c:v>4.8054222830000004</c:v>
                </c:pt>
                <c:pt idx="45">
                  <c:v>5.4069479850000004</c:v>
                </c:pt>
                <c:pt idx="46">
                  <c:v>5.9859121460000004</c:v>
                </c:pt>
                <c:pt idx="47">
                  <c:v>6.1802908040000002</c:v>
                </c:pt>
                <c:pt idx="48">
                  <c:v>6.2970464929999999</c:v>
                </c:pt>
                <c:pt idx="49">
                  <c:v>6.5470043750000002</c:v>
                </c:pt>
                <c:pt idx="50">
                  <c:v>6.8929445390000001</c:v>
                </c:pt>
                <c:pt idx="51">
                  <c:v>6.6197915700000003</c:v>
                </c:pt>
                <c:pt idx="52">
                  <c:v>6.6899553630000002</c:v>
                </c:pt>
                <c:pt idx="53">
                  <c:v>7.1169141649999998</c:v>
                </c:pt>
                <c:pt idx="54">
                  <c:v>6.6169472909999998</c:v>
                </c:pt>
                <c:pt idx="55">
                  <c:v>6.515400036</c:v>
                </c:pt>
                <c:pt idx="56">
                  <c:v>6.5560964979999996</c:v>
                </c:pt>
                <c:pt idx="57">
                  <c:v>6.3479171179999998</c:v>
                </c:pt>
                <c:pt idx="58">
                  <c:v>5.9285701470000003</c:v>
                </c:pt>
                <c:pt idx="59">
                  <c:v>5.4419101919999999</c:v>
                </c:pt>
                <c:pt idx="60">
                  <c:v>5.4790878230000004</c:v>
                </c:pt>
                <c:pt idx="61">
                  <c:v>5.1896102070000003</c:v>
                </c:pt>
                <c:pt idx="62">
                  <c:v>4.4422697170000003</c:v>
                </c:pt>
                <c:pt idx="63">
                  <c:v>4.4464190820000002</c:v>
                </c:pt>
                <c:pt idx="64">
                  <c:v>3.9620255360000001</c:v>
                </c:pt>
                <c:pt idx="65">
                  <c:v>3.1984205330000002</c:v>
                </c:pt>
                <c:pt idx="66">
                  <c:v>3.3147084819999999</c:v>
                </c:pt>
                <c:pt idx="67">
                  <c:v>3.3475917530000001</c:v>
                </c:pt>
                <c:pt idx="68">
                  <c:v>3.369589307</c:v>
                </c:pt>
                <c:pt idx="69">
                  <c:v>2.9420749819999998</c:v>
                </c:pt>
                <c:pt idx="70">
                  <c:v>2.7027027029999999</c:v>
                </c:pt>
                <c:pt idx="71">
                  <c:v>2.6193936529999999</c:v>
                </c:pt>
                <c:pt idx="72">
                  <c:v>2.4829637600000001</c:v>
                </c:pt>
                <c:pt idx="73">
                  <c:v>2.49694269</c:v>
                </c:pt>
                <c:pt idx="74">
                  <c:v>2.7206559019999998</c:v>
                </c:pt>
                <c:pt idx="75">
                  <c:v>2.6823917989999999</c:v>
                </c:pt>
                <c:pt idx="76">
                  <c:v>2.6045659059999999</c:v>
                </c:pt>
                <c:pt idx="77">
                  <c:v>2.5137039290000001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E-4EBA-B53F-233EB605F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130032"/>
        <c:axId val="284352768"/>
      </c:lineChart>
      <c:scatterChart>
        <c:scatterStyle val="lineMarker"/>
        <c:varyColors val="0"/>
        <c:ser>
          <c:idx val="0"/>
          <c:order val="0"/>
          <c:tx>
            <c:strRef>
              <c:f>'202404'!$A$24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'202404'!$E$24:$E$33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'202404'!$H$24:$H$33</c:f>
              <c:numCache>
                <c:formatCode>General</c:formatCode>
                <c:ptCount val="10"/>
                <c:pt idx="0">
                  <c:v>1.9214730728</c:v>
                </c:pt>
                <c:pt idx="1">
                  <c:v>1.9557405768</c:v>
                </c:pt>
                <c:pt idx="2">
                  <c:v>1.9900080808</c:v>
                </c:pt>
                <c:pt idx="3">
                  <c:v>2.0242755847999998</c:v>
                </c:pt>
                <c:pt idx="4">
                  <c:v>2.0585430888</c:v>
                </c:pt>
                <c:pt idx="5">
                  <c:v>2.0928105927999998</c:v>
                </c:pt>
                <c:pt idx="6">
                  <c:v>2.1270780968</c:v>
                </c:pt>
                <c:pt idx="7">
                  <c:v>2.1613456007999998</c:v>
                </c:pt>
                <c:pt idx="8">
                  <c:v>2.1956131048</c:v>
                </c:pt>
                <c:pt idx="9">
                  <c:v>2.2298806087999998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4E-4EBA-B53F-233EB605FD5C}"/>
            </c:ext>
          </c:extLst>
        </c:ser>
        <c:ser>
          <c:idx val="1"/>
          <c:order val="1"/>
          <c:tx>
            <c:strRef>
              <c:f>'202404'!$A$34</c:f>
              <c:strCache>
                <c:ptCount val="1"/>
                <c:pt idx="0">
                  <c:v>2018-11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'202404'!$E$34:$E$46</c:f>
              <c:numCache>
                <c:formatCode>General</c:formatCode>
                <c:ptCount val="13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</c:numCache>
            </c:numRef>
          </c:xVal>
          <c:yVal>
            <c:numRef>
              <c:f>'202404'!$H$34:$H$46</c:f>
              <c:numCache>
                <c:formatCode>General</c:formatCode>
                <c:ptCount val="13"/>
                <c:pt idx="0">
                  <c:v>1.7453838287000001</c:v>
                </c:pt>
                <c:pt idx="1">
                  <c:v>1.7046582210000001</c:v>
                </c:pt>
                <c:pt idx="2">
                  <c:v>1.6639326132000001</c:v>
                </c:pt>
                <c:pt idx="3">
                  <c:v>1.6232070055000001</c:v>
                </c:pt>
                <c:pt idx="4">
                  <c:v>1.5824813978000001</c:v>
                </c:pt>
                <c:pt idx="5">
                  <c:v>1.5417557900000001</c:v>
                </c:pt>
                <c:pt idx="6">
                  <c:v>1.5010301823000001</c:v>
                </c:pt>
                <c:pt idx="7">
                  <c:v>1.4603045746000001</c:v>
                </c:pt>
                <c:pt idx="8">
                  <c:v>1.4195789668000001</c:v>
                </c:pt>
                <c:pt idx="9">
                  <c:v>1.3788533591000001</c:v>
                </c:pt>
                <c:pt idx="10">
                  <c:v>1.3381277514000001</c:v>
                </c:pt>
                <c:pt idx="11">
                  <c:v>1.2974021437000001</c:v>
                </c:pt>
                <c:pt idx="12">
                  <c:v>1.2566765359000001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4E-4EBA-B53F-233EB605FD5C}"/>
            </c:ext>
          </c:extLst>
        </c:ser>
        <c:ser>
          <c:idx val="2"/>
          <c:order val="2"/>
          <c:tx>
            <c:strRef>
              <c:f>'202404'!$A$47</c:f>
              <c:strCache>
                <c:ptCount val="1"/>
                <c:pt idx="0">
                  <c:v>2019-12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'202404'!$E$47:$E$56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</c:numCache>
            </c:numRef>
          </c:xVal>
          <c:yVal>
            <c:numRef>
              <c:f>'202404'!$H$47:$H$56</c:f>
              <c:numCache>
                <c:formatCode>General</c:formatCode>
                <c:ptCount val="10"/>
                <c:pt idx="0">
                  <c:v>1.4000750136</c:v>
                </c:pt>
                <c:pt idx="1">
                  <c:v>1.3312720539</c:v>
                </c:pt>
                <c:pt idx="2">
                  <c:v>1.2624690943000001</c:v>
                </c:pt>
                <c:pt idx="3">
                  <c:v>1.1936661346999999</c:v>
                </c:pt>
                <c:pt idx="4">
                  <c:v>1.124863175</c:v>
                </c:pt>
                <c:pt idx="5">
                  <c:v>1.0560602154000001</c:v>
                </c:pt>
                <c:pt idx="6">
                  <c:v>0.9872572557</c:v>
                </c:pt>
                <c:pt idx="7">
                  <c:v>0.91845429609999996</c:v>
                </c:pt>
                <c:pt idx="8">
                  <c:v>0.84965133650000002</c:v>
                </c:pt>
                <c:pt idx="9">
                  <c:v>0.78084837679999997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4E-4EBA-B53F-233EB605FD5C}"/>
            </c:ext>
          </c:extLst>
        </c:ser>
        <c:ser>
          <c:idx val="3"/>
          <c:order val="3"/>
          <c:tx>
            <c:strRef>
              <c:f>'202404'!$A$57</c:f>
              <c:strCache>
                <c:ptCount val="1"/>
                <c:pt idx="0">
                  <c:v>2020-10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'202404'!$E$57:$E$67</c:f>
              <c:numCache>
                <c:formatCode>General</c:formatCode>
                <c:ptCount val="11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</c:numCache>
            </c:numRef>
          </c:xVal>
          <c:yVal>
            <c:numRef>
              <c:f>'202404'!$H$57:$H$67</c:f>
              <c:numCache>
                <c:formatCode>General</c:formatCode>
                <c:ptCount val="11"/>
                <c:pt idx="0">
                  <c:v>0.70361757000000003</c:v>
                </c:pt>
                <c:pt idx="1">
                  <c:v>1.1316695146</c:v>
                </c:pt>
                <c:pt idx="2">
                  <c:v>1.5597214590999999</c:v>
                </c:pt>
                <c:pt idx="3">
                  <c:v>1.9877734036000001</c:v>
                </c:pt>
                <c:pt idx="4">
                  <c:v>2.4158253480999998</c:v>
                </c:pt>
                <c:pt idx="5">
                  <c:v>2.8438772926000002</c:v>
                </c:pt>
                <c:pt idx="6">
                  <c:v>3.2719292372000002</c:v>
                </c:pt>
                <c:pt idx="7">
                  <c:v>3.6999811817000001</c:v>
                </c:pt>
                <c:pt idx="8">
                  <c:v>4.1280331262000001</c:v>
                </c:pt>
                <c:pt idx="9">
                  <c:v>4.5560850707</c:v>
                </c:pt>
                <c:pt idx="10">
                  <c:v>4.9841370152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4E-4EBA-B53F-233EB605FD5C}"/>
            </c:ext>
          </c:extLst>
        </c:ser>
        <c:ser>
          <c:idx val="4"/>
          <c:order val="4"/>
          <c:tx>
            <c:strRef>
              <c:f>'202404'!$A$68</c:f>
              <c:strCache>
                <c:ptCount val="1"/>
                <c:pt idx="0">
                  <c:v>2021-09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'202404'!$E$68:$E$77</c:f>
              <c:numCache>
                <c:formatCode>General</c:formatCode>
                <c:ptCount val="10"/>
                <c:pt idx="0">
                  <c:v>45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  <c:pt idx="5">
                  <c:v>50</c:v>
                </c:pt>
                <c:pt idx="6">
                  <c:v>51</c:v>
                </c:pt>
                <c:pt idx="7">
                  <c:v>52</c:v>
                </c:pt>
                <c:pt idx="8">
                  <c:v>53</c:v>
                </c:pt>
                <c:pt idx="9">
                  <c:v>54</c:v>
                </c:pt>
              </c:numCache>
            </c:numRef>
          </c:xVal>
          <c:yVal>
            <c:numRef>
              <c:f>'202404'!$H$68:$H$77</c:f>
              <c:numCache>
                <c:formatCode>General</c:formatCode>
                <c:ptCount val="10"/>
                <c:pt idx="0">
                  <c:v>5.2903558416000003</c:v>
                </c:pt>
                <c:pt idx="1">
                  <c:v>5.5045485372999998</c:v>
                </c:pt>
                <c:pt idx="2">
                  <c:v>5.7187412330000003</c:v>
                </c:pt>
                <c:pt idx="3">
                  <c:v>5.9329339286999998</c:v>
                </c:pt>
                <c:pt idx="4">
                  <c:v>6.1471266244000002</c:v>
                </c:pt>
                <c:pt idx="5">
                  <c:v>6.3613193201999998</c:v>
                </c:pt>
                <c:pt idx="6">
                  <c:v>6.5755120159000002</c:v>
                </c:pt>
                <c:pt idx="7">
                  <c:v>6.7897047115999998</c:v>
                </c:pt>
                <c:pt idx="8">
                  <c:v>7.0038974073000002</c:v>
                </c:pt>
                <c:pt idx="9">
                  <c:v>7.2180901029999998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4E-4EBA-B53F-233EB605FD5C}"/>
            </c:ext>
          </c:extLst>
        </c:ser>
        <c:ser>
          <c:idx val="5"/>
          <c:order val="5"/>
          <c:tx>
            <c:strRef>
              <c:f>'202404'!$A$78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'202404'!$E$78:$E$88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'202404'!$H$78:$H$88</c:f>
              <c:numCache>
                <c:formatCode>General</c:formatCode>
                <c:ptCount val="11"/>
                <c:pt idx="0">
                  <c:v>6.9323007443</c:v>
                </c:pt>
                <c:pt idx="1">
                  <c:v>6.6535906617</c:v>
                </c:pt>
                <c:pt idx="2">
                  <c:v>6.3748805792000001</c:v>
                </c:pt>
                <c:pt idx="3">
                  <c:v>6.0961704966000001</c:v>
                </c:pt>
                <c:pt idx="4">
                  <c:v>5.8174604141000001</c:v>
                </c:pt>
                <c:pt idx="5">
                  <c:v>5.5387503315000002</c:v>
                </c:pt>
                <c:pt idx="6">
                  <c:v>5.2600402490000002</c:v>
                </c:pt>
                <c:pt idx="7">
                  <c:v>4.9813301665000003</c:v>
                </c:pt>
                <c:pt idx="8">
                  <c:v>4.7026200839000003</c:v>
                </c:pt>
                <c:pt idx="9">
                  <c:v>4.4239100014000003</c:v>
                </c:pt>
                <c:pt idx="10">
                  <c:v>4.1451999188000004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4E-4EBA-B53F-233EB605FD5C}"/>
            </c:ext>
          </c:extLst>
        </c:ser>
        <c:ser>
          <c:idx val="6"/>
          <c:order val="6"/>
          <c:tx>
            <c:strRef>
              <c:f>'202404'!$A$89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'202406'!$E$89:$E$101</c:f>
              <c:numCache>
                <c:formatCode>General</c:formatCode>
                <c:ptCount val="13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  <c:pt idx="9">
                  <c:v>75</c:v>
                </c:pt>
                <c:pt idx="10">
                  <c:v>76</c:v>
                </c:pt>
                <c:pt idx="11">
                  <c:v>77</c:v>
                </c:pt>
                <c:pt idx="12">
                  <c:v>78</c:v>
                </c:pt>
              </c:numCache>
            </c:numRef>
          </c:xVal>
          <c:yVal>
            <c:numRef>
              <c:f>'202406'!$H$89:$H$101</c:f>
              <c:numCache>
                <c:formatCode>General</c:formatCode>
                <c:ptCount val="13"/>
                <c:pt idx="0">
                  <c:v>3.2868108348999998</c:v>
                </c:pt>
                <c:pt idx="1">
                  <c:v>3.2133129445000002</c:v>
                </c:pt>
                <c:pt idx="2">
                  <c:v>3.139815054</c:v>
                </c:pt>
                <c:pt idx="3">
                  <c:v>3.0663171636</c:v>
                </c:pt>
                <c:pt idx="4">
                  <c:v>2.9928192730999998</c:v>
                </c:pt>
                <c:pt idx="5">
                  <c:v>2.9193213827000002</c:v>
                </c:pt>
                <c:pt idx="6">
                  <c:v>2.8458234922000001</c:v>
                </c:pt>
                <c:pt idx="7">
                  <c:v>2.7723256018</c:v>
                </c:pt>
                <c:pt idx="8">
                  <c:v>2.6988277112999999</c:v>
                </c:pt>
                <c:pt idx="9">
                  <c:v>2.6253298209000002</c:v>
                </c:pt>
                <c:pt idx="10">
                  <c:v>2.5518319304000001</c:v>
                </c:pt>
                <c:pt idx="11">
                  <c:v>2.47833404</c:v>
                </c:pt>
                <c:pt idx="12">
                  <c:v>2.4048361494999999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4E-4EBA-B53F-233EB605F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130032"/>
        <c:axId val="284352768"/>
      </c:scatterChart>
      <c:catAx>
        <c:axId val="3591300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4352768"/>
        <c:crosses val="autoZero"/>
        <c:auto val="0"/>
        <c:lblAlgn val="ctr"/>
        <c:lblOffset val="100"/>
        <c:noMultiLvlLbl val="0"/>
      </c:catAx>
      <c:valAx>
        <c:axId val="28435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913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76377952755905"/>
          <c:y val="0.14847884580465179"/>
          <c:w val="0.19656955380577429"/>
          <c:h val="0.59402763333828557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914260717410324E-2"/>
          <c:y val="4.6121593291404611E-2"/>
          <c:w val="0.73007174103237082"/>
          <c:h val="0.77640139322207369"/>
        </c:manualLayout>
      </c:layout>
      <c:lineChart>
        <c:grouping val="standard"/>
        <c:varyColors val="0"/>
        <c:ser>
          <c:idx val="7"/>
          <c:order val="7"/>
          <c:tx>
            <c:v>美國PCE物價指數年增率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'202405'!$A$24:$A$100</c:f>
              <c:numCache>
                <c:formatCode>yyyy\-mm</c:formatCode>
                <c:ptCount val="7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</c:numCache>
            </c:numRef>
          </c:cat>
          <c:val>
            <c:numRef>
              <c:f>'202405'!$G$24:$G$100</c:f>
              <c:numCache>
                <c:formatCode>General</c:formatCode>
                <c:ptCount val="77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1.4970503660000001</c:v>
                </c:pt>
                <c:pt idx="13">
                  <c:v>1.425810523</c:v>
                </c:pt>
                <c:pt idx="14">
                  <c:v>1.509002797</c:v>
                </c:pt>
                <c:pt idx="15">
                  <c:v>1.5771475740000001</c:v>
                </c:pt>
                <c:pt idx="16">
                  <c:v>1.4567249680000001</c:v>
                </c:pt>
                <c:pt idx="17">
                  <c:v>1.411363436</c:v>
                </c:pt>
                <c:pt idx="18">
                  <c:v>1.4402224459999999</c:v>
                </c:pt>
                <c:pt idx="19">
                  <c:v>1.4216108329999999</c:v>
                </c:pt>
                <c:pt idx="20">
                  <c:v>1.3044582010000001</c:v>
                </c:pt>
                <c:pt idx="21">
                  <c:v>1.3314489009999999</c:v>
                </c:pt>
                <c:pt idx="22">
                  <c:v>1.33196921</c:v>
                </c:pt>
                <c:pt idx="23">
                  <c:v>1.5394202589999999</c:v>
                </c:pt>
                <c:pt idx="24">
                  <c:v>1.6979184919999999</c:v>
                </c:pt>
                <c:pt idx="25">
                  <c:v>1.6420057939999999</c:v>
                </c:pt>
                <c:pt idx="26">
                  <c:v>1.146949231</c:v>
                </c:pt>
                <c:pt idx="27">
                  <c:v>0.41114045500000002</c:v>
                </c:pt>
                <c:pt idx="28">
                  <c:v>0.44862993800000001</c:v>
                </c:pt>
                <c:pt idx="29">
                  <c:v>0.70552532599999995</c:v>
                </c:pt>
                <c:pt idx="30">
                  <c:v>0.90050961299999999</c:v>
                </c:pt>
                <c:pt idx="31">
                  <c:v>1.1653370119999999</c:v>
                </c:pt>
                <c:pt idx="32">
                  <c:v>1.247180832</c:v>
                </c:pt>
                <c:pt idx="33">
                  <c:v>1.118688739</c:v>
                </c:pt>
                <c:pt idx="34">
                  <c:v>1.153879439</c:v>
                </c:pt>
                <c:pt idx="35">
                  <c:v>1.3664870259999999</c:v>
                </c:pt>
                <c:pt idx="36">
                  <c:v>1.615003159</c:v>
                </c:pt>
                <c:pt idx="37">
                  <c:v>1.88520435</c:v>
                </c:pt>
                <c:pt idx="38">
                  <c:v>2.7130221219999999</c:v>
                </c:pt>
                <c:pt idx="39">
                  <c:v>3.7246136650000001</c:v>
                </c:pt>
                <c:pt idx="40">
                  <c:v>4.1553566269999997</c:v>
                </c:pt>
                <c:pt idx="41">
                  <c:v>4.3724028060000002</c:v>
                </c:pt>
                <c:pt idx="42">
                  <c:v>4.5331496729999996</c:v>
                </c:pt>
                <c:pt idx="43">
                  <c:v>4.6448426129999998</c:v>
                </c:pt>
                <c:pt idx="44">
                  <c:v>4.8054222830000004</c:v>
                </c:pt>
                <c:pt idx="45">
                  <c:v>5.4069479850000004</c:v>
                </c:pt>
                <c:pt idx="46">
                  <c:v>5.9859121460000004</c:v>
                </c:pt>
                <c:pt idx="47">
                  <c:v>6.1802908040000002</c:v>
                </c:pt>
                <c:pt idx="48">
                  <c:v>6.2970464929999999</c:v>
                </c:pt>
                <c:pt idx="49">
                  <c:v>6.5470043750000002</c:v>
                </c:pt>
                <c:pt idx="50">
                  <c:v>6.8929445390000001</c:v>
                </c:pt>
                <c:pt idx="51">
                  <c:v>6.6197915700000003</c:v>
                </c:pt>
                <c:pt idx="52">
                  <c:v>6.6899553630000002</c:v>
                </c:pt>
                <c:pt idx="53">
                  <c:v>7.1169141649999998</c:v>
                </c:pt>
                <c:pt idx="54">
                  <c:v>6.6169472909999998</c:v>
                </c:pt>
                <c:pt idx="55">
                  <c:v>6.515400036</c:v>
                </c:pt>
                <c:pt idx="56">
                  <c:v>6.5560964979999996</c:v>
                </c:pt>
                <c:pt idx="57">
                  <c:v>6.3479171179999998</c:v>
                </c:pt>
                <c:pt idx="58">
                  <c:v>5.9285701470000003</c:v>
                </c:pt>
                <c:pt idx="59">
                  <c:v>5.4419101919999999</c:v>
                </c:pt>
                <c:pt idx="60">
                  <c:v>5.4790878230000004</c:v>
                </c:pt>
                <c:pt idx="61">
                  <c:v>5.1896102070000003</c:v>
                </c:pt>
                <c:pt idx="62">
                  <c:v>4.4422697170000003</c:v>
                </c:pt>
                <c:pt idx="63">
                  <c:v>4.4464190820000002</c:v>
                </c:pt>
                <c:pt idx="64">
                  <c:v>3.9620255360000001</c:v>
                </c:pt>
                <c:pt idx="65">
                  <c:v>3.1984205330000002</c:v>
                </c:pt>
                <c:pt idx="66">
                  <c:v>3.3147084819999999</c:v>
                </c:pt>
                <c:pt idx="67">
                  <c:v>3.3475917530000001</c:v>
                </c:pt>
                <c:pt idx="68">
                  <c:v>3.369589307</c:v>
                </c:pt>
                <c:pt idx="69">
                  <c:v>2.9420749819999998</c:v>
                </c:pt>
                <c:pt idx="70">
                  <c:v>2.7027027029999999</c:v>
                </c:pt>
                <c:pt idx="71">
                  <c:v>2.6193936529999999</c:v>
                </c:pt>
                <c:pt idx="72">
                  <c:v>2.4829637600000001</c:v>
                </c:pt>
                <c:pt idx="73">
                  <c:v>2.49694269</c:v>
                </c:pt>
                <c:pt idx="74">
                  <c:v>2.7206559019999998</c:v>
                </c:pt>
                <c:pt idx="75">
                  <c:v>2.6798895680000001</c:v>
                </c:pt>
                <c:pt idx="76">
                  <c:v>2.5629061819999999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74-4F1B-9546-8C0F56443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130032"/>
        <c:axId val="284352768"/>
      </c:lineChart>
      <c:scatterChart>
        <c:scatterStyle val="lineMarker"/>
        <c:varyColors val="0"/>
        <c:ser>
          <c:idx val="0"/>
          <c:order val="0"/>
          <c:tx>
            <c:strRef>
              <c:f>'202404'!$A$24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'202404'!$E$24:$E$33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'202404'!$H$24:$H$33</c:f>
              <c:numCache>
                <c:formatCode>General</c:formatCode>
                <c:ptCount val="10"/>
                <c:pt idx="0">
                  <c:v>1.9214730728</c:v>
                </c:pt>
                <c:pt idx="1">
                  <c:v>1.9557405768</c:v>
                </c:pt>
                <c:pt idx="2">
                  <c:v>1.9900080808</c:v>
                </c:pt>
                <c:pt idx="3">
                  <c:v>2.0242755847999998</c:v>
                </c:pt>
                <c:pt idx="4">
                  <c:v>2.0585430888</c:v>
                </c:pt>
                <c:pt idx="5">
                  <c:v>2.0928105927999998</c:v>
                </c:pt>
                <c:pt idx="6">
                  <c:v>2.1270780968</c:v>
                </c:pt>
                <c:pt idx="7">
                  <c:v>2.1613456007999998</c:v>
                </c:pt>
                <c:pt idx="8">
                  <c:v>2.1956131048</c:v>
                </c:pt>
                <c:pt idx="9">
                  <c:v>2.2298806087999998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74-4F1B-9546-8C0F56443AC5}"/>
            </c:ext>
          </c:extLst>
        </c:ser>
        <c:ser>
          <c:idx val="1"/>
          <c:order val="1"/>
          <c:tx>
            <c:strRef>
              <c:f>'202404'!$A$34</c:f>
              <c:strCache>
                <c:ptCount val="1"/>
                <c:pt idx="0">
                  <c:v>2018-11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'202404'!$E$34:$E$46</c:f>
              <c:numCache>
                <c:formatCode>General</c:formatCode>
                <c:ptCount val="13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</c:numCache>
            </c:numRef>
          </c:xVal>
          <c:yVal>
            <c:numRef>
              <c:f>'202404'!$H$34:$H$46</c:f>
              <c:numCache>
                <c:formatCode>General</c:formatCode>
                <c:ptCount val="13"/>
                <c:pt idx="0">
                  <c:v>1.7453838287000001</c:v>
                </c:pt>
                <c:pt idx="1">
                  <c:v>1.7046582210000001</c:v>
                </c:pt>
                <c:pt idx="2">
                  <c:v>1.6639326132000001</c:v>
                </c:pt>
                <c:pt idx="3">
                  <c:v>1.6232070055000001</c:v>
                </c:pt>
                <c:pt idx="4">
                  <c:v>1.5824813978000001</c:v>
                </c:pt>
                <c:pt idx="5">
                  <c:v>1.5417557900000001</c:v>
                </c:pt>
                <c:pt idx="6">
                  <c:v>1.5010301823000001</c:v>
                </c:pt>
                <c:pt idx="7">
                  <c:v>1.4603045746000001</c:v>
                </c:pt>
                <c:pt idx="8">
                  <c:v>1.4195789668000001</c:v>
                </c:pt>
                <c:pt idx="9">
                  <c:v>1.3788533591000001</c:v>
                </c:pt>
                <c:pt idx="10">
                  <c:v>1.3381277514000001</c:v>
                </c:pt>
                <c:pt idx="11">
                  <c:v>1.2974021437000001</c:v>
                </c:pt>
                <c:pt idx="12">
                  <c:v>1.2566765359000001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74-4F1B-9546-8C0F56443AC5}"/>
            </c:ext>
          </c:extLst>
        </c:ser>
        <c:ser>
          <c:idx val="2"/>
          <c:order val="2"/>
          <c:tx>
            <c:strRef>
              <c:f>'202404'!$A$47</c:f>
              <c:strCache>
                <c:ptCount val="1"/>
                <c:pt idx="0">
                  <c:v>2019-12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'202404'!$E$47:$E$56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</c:numCache>
            </c:numRef>
          </c:xVal>
          <c:yVal>
            <c:numRef>
              <c:f>'202404'!$H$47:$H$56</c:f>
              <c:numCache>
                <c:formatCode>General</c:formatCode>
                <c:ptCount val="10"/>
                <c:pt idx="0">
                  <c:v>1.4000750136</c:v>
                </c:pt>
                <c:pt idx="1">
                  <c:v>1.3312720539</c:v>
                </c:pt>
                <c:pt idx="2">
                  <c:v>1.2624690943000001</c:v>
                </c:pt>
                <c:pt idx="3">
                  <c:v>1.1936661346999999</c:v>
                </c:pt>
                <c:pt idx="4">
                  <c:v>1.124863175</c:v>
                </c:pt>
                <c:pt idx="5">
                  <c:v>1.0560602154000001</c:v>
                </c:pt>
                <c:pt idx="6">
                  <c:v>0.9872572557</c:v>
                </c:pt>
                <c:pt idx="7">
                  <c:v>0.91845429609999996</c:v>
                </c:pt>
                <c:pt idx="8">
                  <c:v>0.84965133650000002</c:v>
                </c:pt>
                <c:pt idx="9">
                  <c:v>0.78084837679999997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74-4F1B-9546-8C0F56443AC5}"/>
            </c:ext>
          </c:extLst>
        </c:ser>
        <c:ser>
          <c:idx val="3"/>
          <c:order val="3"/>
          <c:tx>
            <c:strRef>
              <c:f>'202404'!$A$57</c:f>
              <c:strCache>
                <c:ptCount val="1"/>
                <c:pt idx="0">
                  <c:v>2020-10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'202404'!$E$57:$E$67</c:f>
              <c:numCache>
                <c:formatCode>General</c:formatCode>
                <c:ptCount val="11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</c:numCache>
            </c:numRef>
          </c:xVal>
          <c:yVal>
            <c:numRef>
              <c:f>'202404'!$H$57:$H$67</c:f>
              <c:numCache>
                <c:formatCode>General</c:formatCode>
                <c:ptCount val="11"/>
                <c:pt idx="0">
                  <c:v>0.70361757000000003</c:v>
                </c:pt>
                <c:pt idx="1">
                  <c:v>1.1316695146</c:v>
                </c:pt>
                <c:pt idx="2">
                  <c:v>1.5597214590999999</c:v>
                </c:pt>
                <c:pt idx="3">
                  <c:v>1.9877734036000001</c:v>
                </c:pt>
                <c:pt idx="4">
                  <c:v>2.4158253480999998</c:v>
                </c:pt>
                <c:pt idx="5">
                  <c:v>2.8438772926000002</c:v>
                </c:pt>
                <c:pt idx="6">
                  <c:v>3.2719292372000002</c:v>
                </c:pt>
                <c:pt idx="7">
                  <c:v>3.6999811817000001</c:v>
                </c:pt>
                <c:pt idx="8">
                  <c:v>4.1280331262000001</c:v>
                </c:pt>
                <c:pt idx="9">
                  <c:v>4.5560850707</c:v>
                </c:pt>
                <c:pt idx="10">
                  <c:v>4.9841370152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74-4F1B-9546-8C0F56443AC5}"/>
            </c:ext>
          </c:extLst>
        </c:ser>
        <c:ser>
          <c:idx val="4"/>
          <c:order val="4"/>
          <c:tx>
            <c:strRef>
              <c:f>'202404'!$A$68</c:f>
              <c:strCache>
                <c:ptCount val="1"/>
                <c:pt idx="0">
                  <c:v>2021-09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'202404'!$E$68:$E$77</c:f>
              <c:numCache>
                <c:formatCode>General</c:formatCode>
                <c:ptCount val="10"/>
                <c:pt idx="0">
                  <c:v>45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  <c:pt idx="5">
                  <c:v>50</c:v>
                </c:pt>
                <c:pt idx="6">
                  <c:v>51</c:v>
                </c:pt>
                <c:pt idx="7">
                  <c:v>52</c:v>
                </c:pt>
                <c:pt idx="8">
                  <c:v>53</c:v>
                </c:pt>
                <c:pt idx="9">
                  <c:v>54</c:v>
                </c:pt>
              </c:numCache>
            </c:numRef>
          </c:xVal>
          <c:yVal>
            <c:numRef>
              <c:f>'202404'!$H$68:$H$77</c:f>
              <c:numCache>
                <c:formatCode>General</c:formatCode>
                <c:ptCount val="10"/>
                <c:pt idx="0">
                  <c:v>5.2903558416000003</c:v>
                </c:pt>
                <c:pt idx="1">
                  <c:v>5.5045485372999998</c:v>
                </c:pt>
                <c:pt idx="2">
                  <c:v>5.7187412330000003</c:v>
                </c:pt>
                <c:pt idx="3">
                  <c:v>5.9329339286999998</c:v>
                </c:pt>
                <c:pt idx="4">
                  <c:v>6.1471266244000002</c:v>
                </c:pt>
                <c:pt idx="5">
                  <c:v>6.3613193201999998</c:v>
                </c:pt>
                <c:pt idx="6">
                  <c:v>6.5755120159000002</c:v>
                </c:pt>
                <c:pt idx="7">
                  <c:v>6.7897047115999998</c:v>
                </c:pt>
                <c:pt idx="8">
                  <c:v>7.0038974073000002</c:v>
                </c:pt>
                <c:pt idx="9">
                  <c:v>7.2180901029999998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74-4F1B-9546-8C0F56443AC5}"/>
            </c:ext>
          </c:extLst>
        </c:ser>
        <c:ser>
          <c:idx val="5"/>
          <c:order val="5"/>
          <c:tx>
            <c:strRef>
              <c:f>'202404'!$A$78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'202404'!$E$78:$E$88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'202404'!$H$78:$H$88</c:f>
              <c:numCache>
                <c:formatCode>General</c:formatCode>
                <c:ptCount val="11"/>
                <c:pt idx="0">
                  <c:v>6.9323007443</c:v>
                </c:pt>
                <c:pt idx="1">
                  <c:v>6.6535906617</c:v>
                </c:pt>
                <c:pt idx="2">
                  <c:v>6.3748805792000001</c:v>
                </c:pt>
                <c:pt idx="3">
                  <c:v>6.0961704966000001</c:v>
                </c:pt>
                <c:pt idx="4">
                  <c:v>5.8174604141000001</c:v>
                </c:pt>
                <c:pt idx="5">
                  <c:v>5.5387503315000002</c:v>
                </c:pt>
                <c:pt idx="6">
                  <c:v>5.2600402490000002</c:v>
                </c:pt>
                <c:pt idx="7">
                  <c:v>4.9813301665000003</c:v>
                </c:pt>
                <c:pt idx="8">
                  <c:v>4.7026200839000003</c:v>
                </c:pt>
                <c:pt idx="9">
                  <c:v>4.4239100014000003</c:v>
                </c:pt>
                <c:pt idx="10">
                  <c:v>4.1451999188000004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74-4F1B-9546-8C0F56443AC5}"/>
            </c:ext>
          </c:extLst>
        </c:ser>
        <c:ser>
          <c:idx val="6"/>
          <c:order val="6"/>
          <c:tx>
            <c:strRef>
              <c:f>'202404'!$A$89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'202405'!$E$89:$E$100</c:f>
              <c:numCache>
                <c:formatCode>General</c:formatCode>
                <c:ptCount val="12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  <c:pt idx="9">
                  <c:v>75</c:v>
                </c:pt>
                <c:pt idx="10">
                  <c:v>76</c:v>
                </c:pt>
                <c:pt idx="11">
                  <c:v>77</c:v>
                </c:pt>
              </c:numCache>
            </c:numRef>
          </c:xVal>
          <c:yVal>
            <c:numRef>
              <c:f>'202405'!$H$89:$H$100</c:f>
              <c:numCache>
                <c:formatCode>General</c:formatCode>
                <c:ptCount val="12"/>
                <c:pt idx="0">
                  <c:v>3.3105210142999999</c:v>
                </c:pt>
                <c:pt idx="1">
                  <c:v>3.2303935498</c:v>
                </c:pt>
                <c:pt idx="2">
                  <c:v>3.1502660853000002</c:v>
                </c:pt>
                <c:pt idx="3">
                  <c:v>3.0701386207999999</c:v>
                </c:pt>
                <c:pt idx="4">
                  <c:v>2.9900111563</c:v>
                </c:pt>
                <c:pt idx="5">
                  <c:v>2.9098836918000002</c:v>
                </c:pt>
                <c:pt idx="6">
                  <c:v>2.8297562272999999</c:v>
                </c:pt>
                <c:pt idx="7">
                  <c:v>2.7496287628</c:v>
                </c:pt>
                <c:pt idx="8">
                  <c:v>2.6695012984000002</c:v>
                </c:pt>
                <c:pt idx="9">
                  <c:v>2.5893738338999999</c:v>
                </c:pt>
                <c:pt idx="10">
                  <c:v>2.5092463694</c:v>
                </c:pt>
                <c:pt idx="11">
                  <c:v>2.4291189049000002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A74-4F1B-9546-8C0F56443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130032"/>
        <c:axId val="284352768"/>
      </c:scatterChart>
      <c:catAx>
        <c:axId val="3591300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4352768"/>
        <c:crosses val="autoZero"/>
        <c:auto val="0"/>
        <c:lblAlgn val="ctr"/>
        <c:lblOffset val="100"/>
        <c:noMultiLvlLbl val="0"/>
      </c:catAx>
      <c:valAx>
        <c:axId val="28435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913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76377952755905"/>
          <c:y val="0.14847884580465179"/>
          <c:w val="0.19656955380577429"/>
          <c:h val="0.59402763333828557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914260717410324E-2"/>
          <c:y val="4.6121593291404611E-2"/>
          <c:w val="0.73007174103237082"/>
          <c:h val="0.77640139322207369"/>
        </c:manualLayout>
      </c:layout>
      <c:lineChart>
        <c:grouping val="standard"/>
        <c:varyColors val="0"/>
        <c:ser>
          <c:idx val="7"/>
          <c:order val="7"/>
          <c:tx>
            <c:v>美國PCE物價指數年增率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'202404'!$A$24:$A$99</c:f>
              <c:numCache>
                <c:formatCode>yyyy\-mm</c:formatCode>
                <c:ptCount val="76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</c:numCache>
            </c:numRef>
          </c:cat>
          <c:val>
            <c:numRef>
              <c:f>'202404'!$G$24:$G$99</c:f>
              <c:numCache>
                <c:formatCode>General</c:formatCode>
                <c:ptCount val="76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1.4970503660000001</c:v>
                </c:pt>
                <c:pt idx="13">
                  <c:v>1.425810523</c:v>
                </c:pt>
                <c:pt idx="14">
                  <c:v>1.509002797</c:v>
                </c:pt>
                <c:pt idx="15">
                  <c:v>1.5771475740000001</c:v>
                </c:pt>
                <c:pt idx="16">
                  <c:v>1.4567249680000001</c:v>
                </c:pt>
                <c:pt idx="17">
                  <c:v>1.411363436</c:v>
                </c:pt>
                <c:pt idx="18">
                  <c:v>1.4402224459999999</c:v>
                </c:pt>
                <c:pt idx="19">
                  <c:v>1.4216108329999999</c:v>
                </c:pt>
                <c:pt idx="20">
                  <c:v>1.3044582010000001</c:v>
                </c:pt>
                <c:pt idx="21">
                  <c:v>1.3314489009999999</c:v>
                </c:pt>
                <c:pt idx="22">
                  <c:v>1.33196921</c:v>
                </c:pt>
                <c:pt idx="23">
                  <c:v>1.5394202589999999</c:v>
                </c:pt>
                <c:pt idx="24">
                  <c:v>1.6979184919999999</c:v>
                </c:pt>
                <c:pt idx="25">
                  <c:v>1.6420057939999999</c:v>
                </c:pt>
                <c:pt idx="26">
                  <c:v>1.146949231</c:v>
                </c:pt>
                <c:pt idx="27">
                  <c:v>0.41114045500000002</c:v>
                </c:pt>
                <c:pt idx="28">
                  <c:v>0.44862993800000001</c:v>
                </c:pt>
                <c:pt idx="29">
                  <c:v>0.70552532599999995</c:v>
                </c:pt>
                <c:pt idx="30">
                  <c:v>0.90050961299999999</c:v>
                </c:pt>
                <c:pt idx="31">
                  <c:v>1.1653370119999999</c:v>
                </c:pt>
                <c:pt idx="32">
                  <c:v>1.247180832</c:v>
                </c:pt>
                <c:pt idx="33">
                  <c:v>1.118688739</c:v>
                </c:pt>
                <c:pt idx="34">
                  <c:v>1.153879439</c:v>
                </c:pt>
                <c:pt idx="35">
                  <c:v>1.3664870259999999</c:v>
                </c:pt>
                <c:pt idx="36">
                  <c:v>1.615003159</c:v>
                </c:pt>
                <c:pt idx="37">
                  <c:v>1.88520435</c:v>
                </c:pt>
                <c:pt idx="38">
                  <c:v>2.7130221219999999</c:v>
                </c:pt>
                <c:pt idx="39">
                  <c:v>3.7246136650000001</c:v>
                </c:pt>
                <c:pt idx="40">
                  <c:v>4.1553566269999997</c:v>
                </c:pt>
                <c:pt idx="41">
                  <c:v>4.3724028060000002</c:v>
                </c:pt>
                <c:pt idx="42">
                  <c:v>4.5331496729999996</c:v>
                </c:pt>
                <c:pt idx="43">
                  <c:v>4.6448426129999998</c:v>
                </c:pt>
                <c:pt idx="44">
                  <c:v>4.8054222830000004</c:v>
                </c:pt>
                <c:pt idx="45">
                  <c:v>5.4069479850000004</c:v>
                </c:pt>
                <c:pt idx="46">
                  <c:v>5.9859121460000004</c:v>
                </c:pt>
                <c:pt idx="47">
                  <c:v>6.1802908040000002</c:v>
                </c:pt>
                <c:pt idx="48">
                  <c:v>6.2970464929999999</c:v>
                </c:pt>
                <c:pt idx="49">
                  <c:v>6.5470043750000002</c:v>
                </c:pt>
                <c:pt idx="50">
                  <c:v>6.8929445390000001</c:v>
                </c:pt>
                <c:pt idx="51">
                  <c:v>6.6197915700000003</c:v>
                </c:pt>
                <c:pt idx="52">
                  <c:v>6.6899553630000002</c:v>
                </c:pt>
                <c:pt idx="53">
                  <c:v>7.1169141649999998</c:v>
                </c:pt>
                <c:pt idx="54">
                  <c:v>6.6169472909999998</c:v>
                </c:pt>
                <c:pt idx="55">
                  <c:v>6.515400036</c:v>
                </c:pt>
                <c:pt idx="56">
                  <c:v>6.5560964979999996</c:v>
                </c:pt>
                <c:pt idx="57">
                  <c:v>6.3479171179999998</c:v>
                </c:pt>
                <c:pt idx="58">
                  <c:v>5.9285701470000003</c:v>
                </c:pt>
                <c:pt idx="59">
                  <c:v>5.4419101919999999</c:v>
                </c:pt>
                <c:pt idx="60">
                  <c:v>5.4790878230000004</c:v>
                </c:pt>
                <c:pt idx="61">
                  <c:v>5.1896102070000003</c:v>
                </c:pt>
                <c:pt idx="62">
                  <c:v>4.4422697170000003</c:v>
                </c:pt>
                <c:pt idx="63">
                  <c:v>4.4464190820000002</c:v>
                </c:pt>
                <c:pt idx="64">
                  <c:v>3.9620255360000001</c:v>
                </c:pt>
                <c:pt idx="65">
                  <c:v>3.1984205330000002</c:v>
                </c:pt>
                <c:pt idx="66">
                  <c:v>3.3147084819999999</c:v>
                </c:pt>
                <c:pt idx="67">
                  <c:v>3.3475917530000001</c:v>
                </c:pt>
                <c:pt idx="68">
                  <c:v>3.369589307</c:v>
                </c:pt>
                <c:pt idx="69">
                  <c:v>2.9420749819999998</c:v>
                </c:pt>
                <c:pt idx="70">
                  <c:v>2.7027027029999999</c:v>
                </c:pt>
                <c:pt idx="71">
                  <c:v>2.6193936529999999</c:v>
                </c:pt>
                <c:pt idx="72">
                  <c:v>2.4560754889999998</c:v>
                </c:pt>
                <c:pt idx="73">
                  <c:v>2.480190307</c:v>
                </c:pt>
                <c:pt idx="74">
                  <c:v>2.703087091</c:v>
                </c:pt>
                <c:pt idx="75">
                  <c:v>2.6548672569999998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E3D-4B5E-BAA6-B3FEA3ADC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130032"/>
        <c:axId val="284352768"/>
      </c:lineChart>
      <c:scatterChart>
        <c:scatterStyle val="lineMarker"/>
        <c:varyColors val="0"/>
        <c:ser>
          <c:idx val="0"/>
          <c:order val="0"/>
          <c:tx>
            <c:strRef>
              <c:f>'202404'!$A$24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'202404'!$E$24:$E$33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'202404'!$H$24:$H$33</c:f>
              <c:numCache>
                <c:formatCode>General</c:formatCode>
                <c:ptCount val="10"/>
                <c:pt idx="0">
                  <c:v>1.9214730728</c:v>
                </c:pt>
                <c:pt idx="1">
                  <c:v>1.9557405768</c:v>
                </c:pt>
                <c:pt idx="2">
                  <c:v>1.9900080808</c:v>
                </c:pt>
                <c:pt idx="3">
                  <c:v>2.0242755847999998</c:v>
                </c:pt>
                <c:pt idx="4">
                  <c:v>2.0585430888</c:v>
                </c:pt>
                <c:pt idx="5">
                  <c:v>2.0928105927999998</c:v>
                </c:pt>
                <c:pt idx="6">
                  <c:v>2.1270780968</c:v>
                </c:pt>
                <c:pt idx="7">
                  <c:v>2.1613456007999998</c:v>
                </c:pt>
                <c:pt idx="8">
                  <c:v>2.1956131048</c:v>
                </c:pt>
                <c:pt idx="9">
                  <c:v>2.2298806087999998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3D-4B5E-BAA6-B3FEA3ADCE1F}"/>
            </c:ext>
          </c:extLst>
        </c:ser>
        <c:ser>
          <c:idx val="1"/>
          <c:order val="1"/>
          <c:tx>
            <c:strRef>
              <c:f>'202404'!$A$34</c:f>
              <c:strCache>
                <c:ptCount val="1"/>
                <c:pt idx="0">
                  <c:v>2018-11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'202404'!$E$34:$E$46</c:f>
              <c:numCache>
                <c:formatCode>General</c:formatCode>
                <c:ptCount val="13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</c:numCache>
            </c:numRef>
          </c:xVal>
          <c:yVal>
            <c:numRef>
              <c:f>'202404'!$H$34:$H$46</c:f>
              <c:numCache>
                <c:formatCode>General</c:formatCode>
                <c:ptCount val="13"/>
                <c:pt idx="0">
                  <c:v>1.7453838287000001</c:v>
                </c:pt>
                <c:pt idx="1">
                  <c:v>1.7046582210000001</c:v>
                </c:pt>
                <c:pt idx="2">
                  <c:v>1.6639326132000001</c:v>
                </c:pt>
                <c:pt idx="3">
                  <c:v>1.6232070055000001</c:v>
                </c:pt>
                <c:pt idx="4">
                  <c:v>1.5824813978000001</c:v>
                </c:pt>
                <c:pt idx="5">
                  <c:v>1.5417557900000001</c:v>
                </c:pt>
                <c:pt idx="6">
                  <c:v>1.5010301823000001</c:v>
                </c:pt>
                <c:pt idx="7">
                  <c:v>1.4603045746000001</c:v>
                </c:pt>
                <c:pt idx="8">
                  <c:v>1.4195789668000001</c:v>
                </c:pt>
                <c:pt idx="9">
                  <c:v>1.3788533591000001</c:v>
                </c:pt>
                <c:pt idx="10">
                  <c:v>1.3381277514000001</c:v>
                </c:pt>
                <c:pt idx="11">
                  <c:v>1.2974021437000001</c:v>
                </c:pt>
                <c:pt idx="12">
                  <c:v>1.2566765359000001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3D-4B5E-BAA6-B3FEA3ADCE1F}"/>
            </c:ext>
          </c:extLst>
        </c:ser>
        <c:ser>
          <c:idx val="2"/>
          <c:order val="2"/>
          <c:tx>
            <c:strRef>
              <c:f>'202404'!$A$47</c:f>
              <c:strCache>
                <c:ptCount val="1"/>
                <c:pt idx="0">
                  <c:v>2019-12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'202404'!$E$47:$E$56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</c:numCache>
            </c:numRef>
          </c:xVal>
          <c:yVal>
            <c:numRef>
              <c:f>'202404'!$H$47:$H$56</c:f>
              <c:numCache>
                <c:formatCode>General</c:formatCode>
                <c:ptCount val="10"/>
                <c:pt idx="0">
                  <c:v>1.4000750136</c:v>
                </c:pt>
                <c:pt idx="1">
                  <c:v>1.3312720539</c:v>
                </c:pt>
                <c:pt idx="2">
                  <c:v>1.2624690943000001</c:v>
                </c:pt>
                <c:pt idx="3">
                  <c:v>1.1936661346999999</c:v>
                </c:pt>
                <c:pt idx="4">
                  <c:v>1.124863175</c:v>
                </c:pt>
                <c:pt idx="5">
                  <c:v>1.0560602154000001</c:v>
                </c:pt>
                <c:pt idx="6">
                  <c:v>0.9872572557</c:v>
                </c:pt>
                <c:pt idx="7">
                  <c:v>0.91845429609999996</c:v>
                </c:pt>
                <c:pt idx="8">
                  <c:v>0.84965133650000002</c:v>
                </c:pt>
                <c:pt idx="9">
                  <c:v>0.78084837679999997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3D-4B5E-BAA6-B3FEA3ADCE1F}"/>
            </c:ext>
          </c:extLst>
        </c:ser>
        <c:ser>
          <c:idx val="3"/>
          <c:order val="3"/>
          <c:tx>
            <c:strRef>
              <c:f>'202404'!$A$57</c:f>
              <c:strCache>
                <c:ptCount val="1"/>
                <c:pt idx="0">
                  <c:v>2020-10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'202404'!$E$57:$E$67</c:f>
              <c:numCache>
                <c:formatCode>General</c:formatCode>
                <c:ptCount val="11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</c:numCache>
            </c:numRef>
          </c:xVal>
          <c:yVal>
            <c:numRef>
              <c:f>'202404'!$H$57:$H$67</c:f>
              <c:numCache>
                <c:formatCode>General</c:formatCode>
                <c:ptCount val="11"/>
                <c:pt idx="0">
                  <c:v>0.70361757000000003</c:v>
                </c:pt>
                <c:pt idx="1">
                  <c:v>1.1316695146</c:v>
                </c:pt>
                <c:pt idx="2">
                  <c:v>1.5597214590999999</c:v>
                </c:pt>
                <c:pt idx="3">
                  <c:v>1.9877734036000001</c:v>
                </c:pt>
                <c:pt idx="4">
                  <c:v>2.4158253480999998</c:v>
                </c:pt>
                <c:pt idx="5">
                  <c:v>2.8438772926000002</c:v>
                </c:pt>
                <c:pt idx="6">
                  <c:v>3.2719292372000002</c:v>
                </c:pt>
                <c:pt idx="7">
                  <c:v>3.6999811817000001</c:v>
                </c:pt>
                <c:pt idx="8">
                  <c:v>4.1280331262000001</c:v>
                </c:pt>
                <c:pt idx="9">
                  <c:v>4.5560850707</c:v>
                </c:pt>
                <c:pt idx="10">
                  <c:v>4.9841370152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3D-4B5E-BAA6-B3FEA3ADCE1F}"/>
            </c:ext>
          </c:extLst>
        </c:ser>
        <c:ser>
          <c:idx val="4"/>
          <c:order val="4"/>
          <c:tx>
            <c:strRef>
              <c:f>'202404'!$A$68</c:f>
              <c:strCache>
                <c:ptCount val="1"/>
                <c:pt idx="0">
                  <c:v>2021-09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'202404'!$E$68:$E$77</c:f>
              <c:numCache>
                <c:formatCode>General</c:formatCode>
                <c:ptCount val="10"/>
                <c:pt idx="0">
                  <c:v>45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  <c:pt idx="5">
                  <c:v>50</c:v>
                </c:pt>
                <c:pt idx="6">
                  <c:v>51</c:v>
                </c:pt>
                <c:pt idx="7">
                  <c:v>52</c:v>
                </c:pt>
                <c:pt idx="8">
                  <c:v>53</c:v>
                </c:pt>
                <c:pt idx="9">
                  <c:v>54</c:v>
                </c:pt>
              </c:numCache>
            </c:numRef>
          </c:xVal>
          <c:yVal>
            <c:numRef>
              <c:f>'202404'!$H$68:$H$77</c:f>
              <c:numCache>
                <c:formatCode>General</c:formatCode>
                <c:ptCount val="10"/>
                <c:pt idx="0">
                  <c:v>5.2903558416000003</c:v>
                </c:pt>
                <c:pt idx="1">
                  <c:v>5.5045485372999998</c:v>
                </c:pt>
                <c:pt idx="2">
                  <c:v>5.7187412330000003</c:v>
                </c:pt>
                <c:pt idx="3">
                  <c:v>5.9329339286999998</c:v>
                </c:pt>
                <c:pt idx="4">
                  <c:v>6.1471266244000002</c:v>
                </c:pt>
                <c:pt idx="5">
                  <c:v>6.3613193201999998</c:v>
                </c:pt>
                <c:pt idx="6">
                  <c:v>6.5755120159000002</c:v>
                </c:pt>
                <c:pt idx="7">
                  <c:v>6.7897047115999998</c:v>
                </c:pt>
                <c:pt idx="8">
                  <c:v>7.0038974073000002</c:v>
                </c:pt>
                <c:pt idx="9">
                  <c:v>7.2180901029999998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3D-4B5E-BAA6-B3FEA3ADCE1F}"/>
            </c:ext>
          </c:extLst>
        </c:ser>
        <c:ser>
          <c:idx val="5"/>
          <c:order val="5"/>
          <c:tx>
            <c:strRef>
              <c:f>'202404'!$A$78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'202404'!$E$78:$E$88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'202404'!$H$78:$H$88</c:f>
              <c:numCache>
                <c:formatCode>General</c:formatCode>
                <c:ptCount val="11"/>
                <c:pt idx="0">
                  <c:v>6.9323007443</c:v>
                </c:pt>
                <c:pt idx="1">
                  <c:v>6.6535906617</c:v>
                </c:pt>
                <c:pt idx="2">
                  <c:v>6.3748805792000001</c:v>
                </c:pt>
                <c:pt idx="3">
                  <c:v>6.0961704966000001</c:v>
                </c:pt>
                <c:pt idx="4">
                  <c:v>5.8174604141000001</c:v>
                </c:pt>
                <c:pt idx="5">
                  <c:v>5.5387503315000002</c:v>
                </c:pt>
                <c:pt idx="6">
                  <c:v>5.2600402490000002</c:v>
                </c:pt>
                <c:pt idx="7">
                  <c:v>4.9813301665000003</c:v>
                </c:pt>
                <c:pt idx="8">
                  <c:v>4.7026200839000003</c:v>
                </c:pt>
                <c:pt idx="9">
                  <c:v>4.4239100014000003</c:v>
                </c:pt>
                <c:pt idx="10">
                  <c:v>4.1451999188000004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3D-4B5E-BAA6-B3FEA3ADCE1F}"/>
            </c:ext>
          </c:extLst>
        </c:ser>
        <c:ser>
          <c:idx val="6"/>
          <c:order val="6"/>
          <c:tx>
            <c:strRef>
              <c:f>'202404'!$A$89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'202404'!$E$89:$E$99</c:f>
              <c:numCache>
                <c:formatCode>General</c:formatCode>
                <c:ptCount val="11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  <c:pt idx="9">
                  <c:v>75</c:v>
                </c:pt>
                <c:pt idx="10">
                  <c:v>76</c:v>
                </c:pt>
              </c:numCache>
            </c:numRef>
          </c:xVal>
          <c:yVal>
            <c:numRef>
              <c:f>'202404'!$H$89:$H$99</c:f>
              <c:numCache>
                <c:formatCode>General</c:formatCode>
                <c:ptCount val="11"/>
                <c:pt idx="0">
                  <c:v>3.3406167437000001</c:v>
                </c:pt>
                <c:pt idx="1">
                  <c:v>3.2504697869000001</c:v>
                </c:pt>
                <c:pt idx="2">
                  <c:v>3.1603228301000001</c:v>
                </c:pt>
                <c:pt idx="3">
                  <c:v>3.0701758733000002</c:v>
                </c:pt>
                <c:pt idx="4">
                  <c:v>2.9800289164999998</c:v>
                </c:pt>
                <c:pt idx="5">
                  <c:v>2.8898819596999998</c:v>
                </c:pt>
                <c:pt idx="6">
                  <c:v>2.7997350028999999</c:v>
                </c:pt>
                <c:pt idx="7">
                  <c:v>2.7095880460999999</c:v>
                </c:pt>
                <c:pt idx="8">
                  <c:v>2.6194410894</c:v>
                </c:pt>
                <c:pt idx="9">
                  <c:v>2.5292941326</c:v>
                </c:pt>
                <c:pt idx="10">
                  <c:v>2.4391471758000001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3D-4B5E-BAA6-B3FEA3ADC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130032"/>
        <c:axId val="284352768"/>
      </c:scatterChart>
      <c:catAx>
        <c:axId val="3591300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4352768"/>
        <c:crosses val="autoZero"/>
        <c:auto val="0"/>
        <c:lblAlgn val="ctr"/>
        <c:lblOffset val="100"/>
        <c:noMultiLvlLbl val="0"/>
      </c:catAx>
      <c:valAx>
        <c:axId val="28435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913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76377952755905"/>
          <c:y val="0.14847884580465179"/>
          <c:w val="0.19656955380577429"/>
          <c:h val="0.59402763333828557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9"/>
          <c:order val="9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'202403'!$A$24:$A$98</c:f>
              <c:numCache>
                <c:formatCode>yyyy\-mm</c:formatCode>
                <c:ptCount val="7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</c:numCache>
            </c:numRef>
          </c:cat>
          <c:val>
            <c:numRef>
              <c:f>'202403'!$G$24:$G$98</c:f>
              <c:numCache>
                <c:formatCode>General</c:formatCode>
                <c:ptCount val="75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1.4970503660000001</c:v>
                </c:pt>
                <c:pt idx="13">
                  <c:v>1.425810523</c:v>
                </c:pt>
                <c:pt idx="14">
                  <c:v>1.509002797</c:v>
                </c:pt>
                <c:pt idx="15">
                  <c:v>1.5771475740000001</c:v>
                </c:pt>
                <c:pt idx="16">
                  <c:v>1.4567249680000001</c:v>
                </c:pt>
                <c:pt idx="17">
                  <c:v>1.411363436</c:v>
                </c:pt>
                <c:pt idx="18">
                  <c:v>1.4402224459999999</c:v>
                </c:pt>
                <c:pt idx="19">
                  <c:v>1.4216108329999999</c:v>
                </c:pt>
                <c:pt idx="20">
                  <c:v>1.3044582010000001</c:v>
                </c:pt>
                <c:pt idx="21">
                  <c:v>1.3314489009999999</c:v>
                </c:pt>
                <c:pt idx="22">
                  <c:v>1.33196921</c:v>
                </c:pt>
                <c:pt idx="23">
                  <c:v>1.5394202589999999</c:v>
                </c:pt>
                <c:pt idx="24">
                  <c:v>1.6979184919999999</c:v>
                </c:pt>
                <c:pt idx="25">
                  <c:v>1.6420057939999999</c:v>
                </c:pt>
                <c:pt idx="26">
                  <c:v>1.146949231</c:v>
                </c:pt>
                <c:pt idx="27">
                  <c:v>0.41114045500000002</c:v>
                </c:pt>
                <c:pt idx="28">
                  <c:v>0.44862993800000001</c:v>
                </c:pt>
                <c:pt idx="29">
                  <c:v>0.70552532599999995</c:v>
                </c:pt>
                <c:pt idx="30">
                  <c:v>0.90050961299999999</c:v>
                </c:pt>
                <c:pt idx="31">
                  <c:v>1.1653370119999999</c:v>
                </c:pt>
                <c:pt idx="32">
                  <c:v>1.247180832</c:v>
                </c:pt>
                <c:pt idx="33">
                  <c:v>1.118688739</c:v>
                </c:pt>
                <c:pt idx="34">
                  <c:v>1.153879439</c:v>
                </c:pt>
                <c:pt idx="35">
                  <c:v>1.3664870259999999</c:v>
                </c:pt>
                <c:pt idx="36">
                  <c:v>1.615003159</c:v>
                </c:pt>
                <c:pt idx="37">
                  <c:v>1.88520435</c:v>
                </c:pt>
                <c:pt idx="38">
                  <c:v>2.7130221219999999</c:v>
                </c:pt>
                <c:pt idx="39">
                  <c:v>3.7246136650000001</c:v>
                </c:pt>
                <c:pt idx="40">
                  <c:v>4.1553566269999997</c:v>
                </c:pt>
                <c:pt idx="41">
                  <c:v>4.3724028060000002</c:v>
                </c:pt>
                <c:pt idx="42">
                  <c:v>4.5331496729999996</c:v>
                </c:pt>
                <c:pt idx="43">
                  <c:v>4.6448426129999998</c:v>
                </c:pt>
                <c:pt idx="44">
                  <c:v>4.8054222830000004</c:v>
                </c:pt>
                <c:pt idx="45">
                  <c:v>5.4069479850000004</c:v>
                </c:pt>
                <c:pt idx="46">
                  <c:v>5.9859121460000004</c:v>
                </c:pt>
                <c:pt idx="47">
                  <c:v>6.1802908040000002</c:v>
                </c:pt>
                <c:pt idx="48">
                  <c:v>6.2970464929999999</c:v>
                </c:pt>
                <c:pt idx="49">
                  <c:v>6.5470043750000002</c:v>
                </c:pt>
                <c:pt idx="50">
                  <c:v>6.8929445390000001</c:v>
                </c:pt>
                <c:pt idx="51">
                  <c:v>6.6197915700000003</c:v>
                </c:pt>
                <c:pt idx="52">
                  <c:v>6.6899553630000002</c:v>
                </c:pt>
                <c:pt idx="53">
                  <c:v>7.1169141649999998</c:v>
                </c:pt>
                <c:pt idx="54">
                  <c:v>6.6169472909999998</c:v>
                </c:pt>
                <c:pt idx="55">
                  <c:v>6.515400036</c:v>
                </c:pt>
                <c:pt idx="56">
                  <c:v>6.5560964979999996</c:v>
                </c:pt>
                <c:pt idx="57">
                  <c:v>6.3479171179999998</c:v>
                </c:pt>
                <c:pt idx="58">
                  <c:v>5.9285701470000003</c:v>
                </c:pt>
                <c:pt idx="59">
                  <c:v>5.4419101919999999</c:v>
                </c:pt>
                <c:pt idx="60">
                  <c:v>5.4790878230000004</c:v>
                </c:pt>
                <c:pt idx="61">
                  <c:v>5.1896102070000003</c:v>
                </c:pt>
                <c:pt idx="62">
                  <c:v>4.4422697170000003</c:v>
                </c:pt>
                <c:pt idx="63">
                  <c:v>4.4464190820000002</c:v>
                </c:pt>
                <c:pt idx="64">
                  <c:v>3.9620255360000001</c:v>
                </c:pt>
                <c:pt idx="65">
                  <c:v>3.1984205330000002</c:v>
                </c:pt>
                <c:pt idx="66">
                  <c:v>3.3147084819999999</c:v>
                </c:pt>
                <c:pt idx="67">
                  <c:v>3.3475917530000001</c:v>
                </c:pt>
                <c:pt idx="68">
                  <c:v>3.369589307</c:v>
                </c:pt>
                <c:pt idx="69">
                  <c:v>2.9420749819999998</c:v>
                </c:pt>
                <c:pt idx="70">
                  <c:v>2.7027027029999999</c:v>
                </c:pt>
                <c:pt idx="71">
                  <c:v>2.6193936529999999</c:v>
                </c:pt>
                <c:pt idx="72">
                  <c:v>2.479602726</c:v>
                </c:pt>
                <c:pt idx="73">
                  <c:v>2.5028060239999999</c:v>
                </c:pt>
                <c:pt idx="74">
                  <c:v>2.7097799720000002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94-4A08-A281-C97AC64D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832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'202312'!$E$24:$E$28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94-4A08-A281-C97AC64DAD42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94-4A08-A281-C97AC64DAD42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'202312'!$E$36:$E$46</c:f>
              <c:numCache>
                <c:formatCode>General</c:formatCode>
                <c:ptCount val="11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</c:numCache>
            </c:numRef>
          </c:xVal>
          <c:yVal>
            <c:numRef>
              <c:f>'202312'!$H$36:$H$46</c:f>
              <c:numCache>
                <c:formatCode>General</c:formatCode>
                <c:ptCount val="11"/>
                <c:pt idx="0">
                  <c:v>1.5253491168</c:v>
                </c:pt>
                <c:pt idx="1">
                  <c:v>1.5058576435</c:v>
                </c:pt>
                <c:pt idx="2">
                  <c:v>1.4863661703</c:v>
                </c:pt>
                <c:pt idx="3">
                  <c:v>1.4668746969999999</c:v>
                </c:pt>
                <c:pt idx="4">
                  <c:v>1.4473832236999999</c:v>
                </c:pt>
                <c:pt idx="5">
                  <c:v>1.4278917504999999</c:v>
                </c:pt>
                <c:pt idx="6">
                  <c:v>1.4084002771999999</c:v>
                </c:pt>
                <c:pt idx="7">
                  <c:v>1.3889088038999999</c:v>
                </c:pt>
                <c:pt idx="8">
                  <c:v>1.3694173305999999</c:v>
                </c:pt>
                <c:pt idx="9">
                  <c:v>1.3499258573999999</c:v>
                </c:pt>
                <c:pt idx="10">
                  <c:v>1.3304343840999999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94-4A08-A281-C97AC64DAD42}"/>
            </c:ext>
          </c:extLst>
        </c:ser>
        <c:ser>
          <c:idx val="3"/>
          <c:order val="3"/>
          <c:tx>
            <c:strRef>
              <c:f>'202312'!$A$47</c:f>
              <c:strCache>
                <c:ptCount val="1"/>
                <c:pt idx="0">
                  <c:v>2019-12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'202312'!$E$47:$E$52</c:f>
              <c:numCache>
                <c:formatCode>General</c:formatCode>
                <c:ptCount val="6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</c:numCache>
            </c:numRef>
          </c:xVal>
          <c:yVal>
            <c:numRef>
              <c:f>'202312'!$H$47:$H$52</c:f>
              <c:numCache>
                <c:formatCode>General</c:formatCode>
                <c:ptCount val="6"/>
                <c:pt idx="0">
                  <c:v>1.8483446670999999</c:v>
                </c:pt>
                <c:pt idx="1">
                  <c:v>1.5680777449000001</c:v>
                </c:pt>
                <c:pt idx="2">
                  <c:v>1.2878108226</c:v>
                </c:pt>
                <c:pt idx="3">
                  <c:v>1.0075439004</c:v>
                </c:pt>
                <c:pt idx="4">
                  <c:v>0.72727697810000003</c:v>
                </c:pt>
                <c:pt idx="5">
                  <c:v>0.44701005589999998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94-4A08-A281-C97AC64DAD42}"/>
            </c:ext>
          </c:extLst>
        </c:ser>
        <c:ser>
          <c:idx val="4"/>
          <c:order val="4"/>
          <c:tx>
            <c:strRef>
              <c:f>'202312'!$A$53</c:f>
              <c:strCache>
                <c:ptCount val="1"/>
                <c:pt idx="0">
                  <c:v>2020-06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'202312'!$E$53:$E$57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</c:numCache>
            </c:numRef>
          </c:xVal>
          <c:yVal>
            <c:numRef>
              <c:f>'202312'!$H$53:$H$57</c:f>
              <c:numCache>
                <c:formatCode>General</c:formatCode>
                <c:ptCount val="5"/>
                <c:pt idx="0">
                  <c:v>0.79284869540000003</c:v>
                </c:pt>
                <c:pt idx="1">
                  <c:v>0.91014849990000002</c:v>
                </c:pt>
                <c:pt idx="2">
                  <c:v>1.0274483044</c:v>
                </c:pt>
                <c:pt idx="3">
                  <c:v>1.1447481089</c:v>
                </c:pt>
                <c:pt idx="4">
                  <c:v>1.2620479134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94-4A08-A281-C97AC64DAD42}"/>
            </c:ext>
          </c:extLst>
        </c:ser>
        <c:ser>
          <c:idx val="5"/>
          <c:order val="5"/>
          <c:tx>
            <c:strRef>
              <c:f>'202312'!$A$58</c:f>
              <c:strCache>
                <c:ptCount val="1"/>
                <c:pt idx="0">
                  <c:v>2020-11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'202312'!$E$58:$E$62</c:f>
              <c:numCache>
                <c:formatCode>General</c:formatCode>
                <c:ptCount val="5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</c:numCache>
            </c:numRef>
          </c:xVal>
          <c:yVal>
            <c:numRef>
              <c:f>'202312'!$H$58:$H$62</c:f>
              <c:numCache>
                <c:formatCode>General</c:formatCode>
                <c:ptCount val="5"/>
                <c:pt idx="0">
                  <c:v>1.0193186811999999</c:v>
                </c:pt>
                <c:pt idx="1">
                  <c:v>1.3830189502000001</c:v>
                </c:pt>
                <c:pt idx="2">
                  <c:v>1.7467192192000001</c:v>
                </c:pt>
                <c:pt idx="3">
                  <c:v>2.1104194881999998</c:v>
                </c:pt>
                <c:pt idx="4">
                  <c:v>2.4741197572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B94-4A08-A281-C97AC64DAD42}"/>
            </c:ext>
          </c:extLst>
        </c:ser>
        <c:ser>
          <c:idx val="6"/>
          <c:order val="6"/>
          <c:tx>
            <c:strRef>
              <c:f>'202312'!$A$63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'202312'!$E$63:$E$68</c:f>
              <c:numCache>
                <c:formatCode>General</c:formatCode>
                <c:ptCount val="6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</c:numCache>
            </c:numRef>
          </c:xVal>
          <c:yVal>
            <c:numRef>
              <c:f>'202312'!$H$63:$H$68</c:f>
              <c:numCache>
                <c:formatCode>General</c:formatCode>
                <c:ptCount val="6"/>
                <c:pt idx="0">
                  <c:v>3.8702564268000001</c:v>
                </c:pt>
                <c:pt idx="1">
                  <c:v>4.0712063672000003</c:v>
                </c:pt>
                <c:pt idx="2">
                  <c:v>4.2721563076000004</c:v>
                </c:pt>
                <c:pt idx="3">
                  <c:v>4.4731062479999997</c:v>
                </c:pt>
                <c:pt idx="4">
                  <c:v>4.6740561884999998</c:v>
                </c:pt>
                <c:pt idx="5">
                  <c:v>4.8750061289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B94-4A08-A281-C97AC64DAD42}"/>
            </c:ext>
          </c:extLst>
        </c:ser>
        <c:ser>
          <c:idx val="7"/>
          <c:order val="7"/>
          <c:tx>
            <c:strRef>
              <c:f>'202312'!$A$69</c:f>
              <c:strCache>
                <c:ptCount val="1"/>
                <c:pt idx="0">
                  <c:v>2021-10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'202312'!$E$69:$E$74</c:f>
              <c:numCache>
                <c:formatCode>General</c:formatCode>
                <c:ptCount val="6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</c:numCache>
            </c:numRef>
          </c:xVal>
          <c:yVal>
            <c:numRef>
              <c:f>'202312'!$H$69:$H$74</c:f>
              <c:numCache>
                <c:formatCode>General</c:formatCode>
                <c:ptCount val="6"/>
                <c:pt idx="0">
                  <c:v>5.5590709274999996</c:v>
                </c:pt>
                <c:pt idx="1">
                  <c:v>5.8227856459999998</c:v>
                </c:pt>
                <c:pt idx="2">
                  <c:v>6.0865003644</c:v>
                </c:pt>
                <c:pt idx="3">
                  <c:v>6.3502150829000001</c:v>
                </c:pt>
                <c:pt idx="4">
                  <c:v>6.6139298014000003</c:v>
                </c:pt>
                <c:pt idx="5">
                  <c:v>6.8776445197999996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B94-4A08-A281-C97AC64DAD42}"/>
            </c:ext>
          </c:extLst>
        </c:ser>
        <c:ser>
          <c:idx val="8"/>
          <c:order val="8"/>
          <c:tx>
            <c:strRef>
              <c:f>'202403'!$A$75</c:f>
              <c:strCache>
                <c:ptCount val="1"/>
                <c:pt idx="0">
                  <c:v>2022-04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'202403'!$E$75:$E$98</c:f>
              <c:numCache>
                <c:formatCode>General</c:formatCode>
                <c:ptCount val="24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</c:numCache>
            </c:numRef>
          </c:xVal>
          <c:yVal>
            <c:numRef>
              <c:f>'202403'!$H$75:$H$98</c:f>
              <c:numCache>
                <c:formatCode>General</c:formatCode>
                <c:ptCount val="24"/>
                <c:pt idx="0">
                  <c:v>7.2261322182000001</c:v>
                </c:pt>
                <c:pt idx="1">
                  <c:v>6.9982786372000003</c:v>
                </c:pt>
                <c:pt idx="2">
                  <c:v>6.7704250561999997</c:v>
                </c:pt>
                <c:pt idx="3">
                  <c:v>6.5425714751999999</c:v>
                </c:pt>
                <c:pt idx="4">
                  <c:v>6.3147178942000002</c:v>
                </c:pt>
                <c:pt idx="5">
                  <c:v>6.0868643132000004</c:v>
                </c:pt>
                <c:pt idx="6">
                  <c:v>5.8590107321999998</c:v>
                </c:pt>
                <c:pt idx="7">
                  <c:v>5.6311571512</c:v>
                </c:pt>
                <c:pt idx="8">
                  <c:v>5.4033035702000003</c:v>
                </c:pt>
                <c:pt idx="9">
                  <c:v>5.1754499891999997</c:v>
                </c:pt>
                <c:pt idx="10">
                  <c:v>4.9475964081999999</c:v>
                </c:pt>
                <c:pt idx="11">
                  <c:v>4.7197428272000002</c:v>
                </c:pt>
                <c:pt idx="12">
                  <c:v>4.4918892462000004</c:v>
                </c:pt>
                <c:pt idx="13">
                  <c:v>4.2640356651999998</c:v>
                </c:pt>
                <c:pt idx="14">
                  <c:v>4.0361820842</c:v>
                </c:pt>
                <c:pt idx="15">
                  <c:v>3.8083285031999998</c:v>
                </c:pt>
                <c:pt idx="16">
                  <c:v>3.5804749222000001</c:v>
                </c:pt>
                <c:pt idx="17">
                  <c:v>3.3526213411999999</c:v>
                </c:pt>
                <c:pt idx="18">
                  <c:v>3.1247677602000001</c:v>
                </c:pt>
                <c:pt idx="19">
                  <c:v>2.8969141791999999</c:v>
                </c:pt>
                <c:pt idx="20">
                  <c:v>2.6690605982000002</c:v>
                </c:pt>
                <c:pt idx="21">
                  <c:v>2.4412070172</c:v>
                </c:pt>
                <c:pt idx="22">
                  <c:v>2.2133534361999998</c:v>
                </c:pt>
                <c:pt idx="23">
                  <c:v>1.9854998552000001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B94-4A08-A281-C97AC64D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832"/>
        <c:axId val="1"/>
      </c:scatterChart>
      <c:catAx>
        <c:axId val="2830268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9"/>
          <c:order val="9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'202402'!$A$24:$A$97</c:f>
              <c:numCache>
                <c:formatCode>yyyy\-mm</c:formatCode>
                <c:ptCount val="7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</c:numCache>
            </c:numRef>
          </c:cat>
          <c:val>
            <c:numRef>
              <c:f>'202402'!$G$24:$G$97</c:f>
              <c:numCache>
                <c:formatCode>General</c:formatCode>
                <c:ptCount val="74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1.4970503660000001</c:v>
                </c:pt>
                <c:pt idx="13">
                  <c:v>1.425810523</c:v>
                </c:pt>
                <c:pt idx="14">
                  <c:v>1.509002797</c:v>
                </c:pt>
                <c:pt idx="15">
                  <c:v>1.5771475740000001</c:v>
                </c:pt>
                <c:pt idx="16">
                  <c:v>1.4567249680000001</c:v>
                </c:pt>
                <c:pt idx="17">
                  <c:v>1.411363436</c:v>
                </c:pt>
                <c:pt idx="18">
                  <c:v>1.4402224459999999</c:v>
                </c:pt>
                <c:pt idx="19">
                  <c:v>1.4216108329999999</c:v>
                </c:pt>
                <c:pt idx="20">
                  <c:v>1.3044582010000001</c:v>
                </c:pt>
                <c:pt idx="21">
                  <c:v>1.3314489009999999</c:v>
                </c:pt>
                <c:pt idx="22">
                  <c:v>1.33196921</c:v>
                </c:pt>
                <c:pt idx="23">
                  <c:v>1.5394202589999999</c:v>
                </c:pt>
                <c:pt idx="24">
                  <c:v>1.6979184919999999</c:v>
                </c:pt>
                <c:pt idx="25">
                  <c:v>1.6420057939999999</c:v>
                </c:pt>
                <c:pt idx="26">
                  <c:v>1.146949231</c:v>
                </c:pt>
                <c:pt idx="27">
                  <c:v>0.41114045500000002</c:v>
                </c:pt>
                <c:pt idx="28">
                  <c:v>0.44862993800000001</c:v>
                </c:pt>
                <c:pt idx="29">
                  <c:v>0.70552532599999995</c:v>
                </c:pt>
                <c:pt idx="30">
                  <c:v>0.90050961299999999</c:v>
                </c:pt>
                <c:pt idx="31">
                  <c:v>1.1653370119999999</c:v>
                </c:pt>
                <c:pt idx="32">
                  <c:v>1.247180832</c:v>
                </c:pt>
                <c:pt idx="33">
                  <c:v>1.118688739</c:v>
                </c:pt>
                <c:pt idx="34">
                  <c:v>1.153879439</c:v>
                </c:pt>
                <c:pt idx="35">
                  <c:v>1.3664870259999999</c:v>
                </c:pt>
                <c:pt idx="36">
                  <c:v>1.615003159</c:v>
                </c:pt>
                <c:pt idx="37">
                  <c:v>1.88520435</c:v>
                </c:pt>
                <c:pt idx="38">
                  <c:v>2.7130221219999999</c:v>
                </c:pt>
                <c:pt idx="39">
                  <c:v>3.7246136650000001</c:v>
                </c:pt>
                <c:pt idx="40">
                  <c:v>4.1553566269999997</c:v>
                </c:pt>
                <c:pt idx="41">
                  <c:v>4.3724028060000002</c:v>
                </c:pt>
                <c:pt idx="42">
                  <c:v>4.5331496729999996</c:v>
                </c:pt>
                <c:pt idx="43">
                  <c:v>4.6448426129999998</c:v>
                </c:pt>
                <c:pt idx="44">
                  <c:v>4.8054222830000004</c:v>
                </c:pt>
                <c:pt idx="45">
                  <c:v>5.4069479850000004</c:v>
                </c:pt>
                <c:pt idx="46">
                  <c:v>5.9859121460000004</c:v>
                </c:pt>
                <c:pt idx="47">
                  <c:v>6.1802908040000002</c:v>
                </c:pt>
                <c:pt idx="48">
                  <c:v>6.2970464929999999</c:v>
                </c:pt>
                <c:pt idx="49">
                  <c:v>6.5470043750000002</c:v>
                </c:pt>
                <c:pt idx="50">
                  <c:v>6.8929445390000001</c:v>
                </c:pt>
                <c:pt idx="51">
                  <c:v>6.6197915700000003</c:v>
                </c:pt>
                <c:pt idx="52">
                  <c:v>6.6899553630000002</c:v>
                </c:pt>
                <c:pt idx="53">
                  <c:v>7.1169141649999998</c:v>
                </c:pt>
                <c:pt idx="54">
                  <c:v>6.6169472909999998</c:v>
                </c:pt>
                <c:pt idx="55">
                  <c:v>6.515400036</c:v>
                </c:pt>
                <c:pt idx="56">
                  <c:v>6.5560964979999996</c:v>
                </c:pt>
                <c:pt idx="57">
                  <c:v>6.3479171179999998</c:v>
                </c:pt>
                <c:pt idx="58">
                  <c:v>5.9285701470000003</c:v>
                </c:pt>
                <c:pt idx="59">
                  <c:v>5.4419101919999999</c:v>
                </c:pt>
                <c:pt idx="60">
                  <c:v>5.4790878230000004</c:v>
                </c:pt>
                <c:pt idx="61">
                  <c:v>5.1896102070000003</c:v>
                </c:pt>
                <c:pt idx="62">
                  <c:v>4.4422697170000003</c:v>
                </c:pt>
                <c:pt idx="63">
                  <c:v>4.4464190820000002</c:v>
                </c:pt>
                <c:pt idx="64">
                  <c:v>3.9620255360000001</c:v>
                </c:pt>
                <c:pt idx="65">
                  <c:v>3.1984205330000002</c:v>
                </c:pt>
                <c:pt idx="66">
                  <c:v>3.3147084819999999</c:v>
                </c:pt>
                <c:pt idx="67">
                  <c:v>3.3475917530000001</c:v>
                </c:pt>
                <c:pt idx="68">
                  <c:v>3.369589307</c:v>
                </c:pt>
                <c:pt idx="69">
                  <c:v>2.9420749819999998</c:v>
                </c:pt>
                <c:pt idx="70">
                  <c:v>2.7027027029999999</c:v>
                </c:pt>
                <c:pt idx="71">
                  <c:v>2.6193936529999999</c:v>
                </c:pt>
                <c:pt idx="72">
                  <c:v>2.4325482520000001</c:v>
                </c:pt>
                <c:pt idx="73">
                  <c:v>2.4508736369999999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8-4D99-91E9-B2B0A238A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6432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'202312'!$E$24:$E$28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58-4D99-91E9-B2B0A238ADE9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58-4D99-91E9-B2B0A238ADE9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'202312'!$E$36:$E$46</c:f>
              <c:numCache>
                <c:formatCode>General</c:formatCode>
                <c:ptCount val="11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</c:numCache>
            </c:numRef>
          </c:xVal>
          <c:yVal>
            <c:numRef>
              <c:f>'202312'!$H$36:$H$46</c:f>
              <c:numCache>
                <c:formatCode>General</c:formatCode>
                <c:ptCount val="11"/>
                <c:pt idx="0">
                  <c:v>1.5253491168</c:v>
                </c:pt>
                <c:pt idx="1">
                  <c:v>1.5058576435</c:v>
                </c:pt>
                <c:pt idx="2">
                  <c:v>1.4863661703</c:v>
                </c:pt>
                <c:pt idx="3">
                  <c:v>1.4668746969999999</c:v>
                </c:pt>
                <c:pt idx="4">
                  <c:v>1.4473832236999999</c:v>
                </c:pt>
                <c:pt idx="5">
                  <c:v>1.4278917504999999</c:v>
                </c:pt>
                <c:pt idx="6">
                  <c:v>1.4084002771999999</c:v>
                </c:pt>
                <c:pt idx="7">
                  <c:v>1.3889088038999999</c:v>
                </c:pt>
                <c:pt idx="8">
                  <c:v>1.3694173305999999</c:v>
                </c:pt>
                <c:pt idx="9">
                  <c:v>1.3499258573999999</c:v>
                </c:pt>
                <c:pt idx="10">
                  <c:v>1.3304343840999999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58-4D99-91E9-B2B0A238ADE9}"/>
            </c:ext>
          </c:extLst>
        </c:ser>
        <c:ser>
          <c:idx val="3"/>
          <c:order val="3"/>
          <c:tx>
            <c:strRef>
              <c:f>'202312'!$A$47</c:f>
              <c:strCache>
                <c:ptCount val="1"/>
                <c:pt idx="0">
                  <c:v>2019-12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'202312'!$E$47:$E$52</c:f>
              <c:numCache>
                <c:formatCode>General</c:formatCode>
                <c:ptCount val="6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</c:numCache>
            </c:numRef>
          </c:xVal>
          <c:yVal>
            <c:numRef>
              <c:f>'202312'!$H$47:$H$52</c:f>
              <c:numCache>
                <c:formatCode>General</c:formatCode>
                <c:ptCount val="6"/>
                <c:pt idx="0">
                  <c:v>1.8483446670999999</c:v>
                </c:pt>
                <c:pt idx="1">
                  <c:v>1.5680777449000001</c:v>
                </c:pt>
                <c:pt idx="2">
                  <c:v>1.2878108226</c:v>
                </c:pt>
                <c:pt idx="3">
                  <c:v>1.0075439004</c:v>
                </c:pt>
                <c:pt idx="4">
                  <c:v>0.72727697810000003</c:v>
                </c:pt>
                <c:pt idx="5">
                  <c:v>0.44701005589999998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58-4D99-91E9-B2B0A238ADE9}"/>
            </c:ext>
          </c:extLst>
        </c:ser>
        <c:ser>
          <c:idx val="4"/>
          <c:order val="4"/>
          <c:tx>
            <c:strRef>
              <c:f>'202312'!$A$53</c:f>
              <c:strCache>
                <c:ptCount val="1"/>
                <c:pt idx="0">
                  <c:v>2020-06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'202312'!$E$53:$E$57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</c:numCache>
            </c:numRef>
          </c:xVal>
          <c:yVal>
            <c:numRef>
              <c:f>'202312'!$H$53:$H$57</c:f>
              <c:numCache>
                <c:formatCode>General</c:formatCode>
                <c:ptCount val="5"/>
                <c:pt idx="0">
                  <c:v>0.79284869540000003</c:v>
                </c:pt>
                <c:pt idx="1">
                  <c:v>0.91014849990000002</c:v>
                </c:pt>
                <c:pt idx="2">
                  <c:v>1.0274483044</c:v>
                </c:pt>
                <c:pt idx="3">
                  <c:v>1.1447481089</c:v>
                </c:pt>
                <c:pt idx="4">
                  <c:v>1.2620479134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58-4D99-91E9-B2B0A238ADE9}"/>
            </c:ext>
          </c:extLst>
        </c:ser>
        <c:ser>
          <c:idx val="5"/>
          <c:order val="5"/>
          <c:tx>
            <c:strRef>
              <c:f>'202312'!$A$58</c:f>
              <c:strCache>
                <c:ptCount val="1"/>
                <c:pt idx="0">
                  <c:v>2020-11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'202312'!$E$58:$E$62</c:f>
              <c:numCache>
                <c:formatCode>General</c:formatCode>
                <c:ptCount val="5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</c:numCache>
            </c:numRef>
          </c:xVal>
          <c:yVal>
            <c:numRef>
              <c:f>'202312'!$H$58:$H$62</c:f>
              <c:numCache>
                <c:formatCode>General</c:formatCode>
                <c:ptCount val="5"/>
                <c:pt idx="0">
                  <c:v>1.0193186811999999</c:v>
                </c:pt>
                <c:pt idx="1">
                  <c:v>1.3830189502000001</c:v>
                </c:pt>
                <c:pt idx="2">
                  <c:v>1.7467192192000001</c:v>
                </c:pt>
                <c:pt idx="3">
                  <c:v>2.1104194881999998</c:v>
                </c:pt>
                <c:pt idx="4">
                  <c:v>2.4741197572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58-4D99-91E9-B2B0A238ADE9}"/>
            </c:ext>
          </c:extLst>
        </c:ser>
        <c:ser>
          <c:idx val="6"/>
          <c:order val="6"/>
          <c:tx>
            <c:strRef>
              <c:f>'202312'!$A$63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'202312'!$E$63:$E$68</c:f>
              <c:numCache>
                <c:formatCode>General</c:formatCode>
                <c:ptCount val="6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</c:numCache>
            </c:numRef>
          </c:xVal>
          <c:yVal>
            <c:numRef>
              <c:f>'202312'!$H$63:$H$68</c:f>
              <c:numCache>
                <c:formatCode>General</c:formatCode>
                <c:ptCount val="6"/>
                <c:pt idx="0">
                  <c:v>3.8702564268000001</c:v>
                </c:pt>
                <c:pt idx="1">
                  <c:v>4.0712063672000003</c:v>
                </c:pt>
                <c:pt idx="2">
                  <c:v>4.2721563076000004</c:v>
                </c:pt>
                <c:pt idx="3">
                  <c:v>4.4731062479999997</c:v>
                </c:pt>
                <c:pt idx="4">
                  <c:v>4.6740561884999998</c:v>
                </c:pt>
                <c:pt idx="5">
                  <c:v>4.8750061289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58-4D99-91E9-B2B0A238ADE9}"/>
            </c:ext>
          </c:extLst>
        </c:ser>
        <c:ser>
          <c:idx val="7"/>
          <c:order val="7"/>
          <c:tx>
            <c:strRef>
              <c:f>'202312'!$A$69</c:f>
              <c:strCache>
                <c:ptCount val="1"/>
                <c:pt idx="0">
                  <c:v>2021-10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'202312'!$E$69:$E$74</c:f>
              <c:numCache>
                <c:formatCode>General</c:formatCode>
                <c:ptCount val="6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</c:numCache>
            </c:numRef>
          </c:xVal>
          <c:yVal>
            <c:numRef>
              <c:f>'202312'!$H$69:$H$74</c:f>
              <c:numCache>
                <c:formatCode>General</c:formatCode>
                <c:ptCount val="6"/>
                <c:pt idx="0">
                  <c:v>5.5590709274999996</c:v>
                </c:pt>
                <c:pt idx="1">
                  <c:v>5.8227856459999998</c:v>
                </c:pt>
                <c:pt idx="2">
                  <c:v>6.0865003644</c:v>
                </c:pt>
                <c:pt idx="3">
                  <c:v>6.3502150829000001</c:v>
                </c:pt>
                <c:pt idx="4">
                  <c:v>6.6139298014000003</c:v>
                </c:pt>
                <c:pt idx="5">
                  <c:v>6.8776445197999996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58-4D99-91E9-B2B0A238ADE9}"/>
            </c:ext>
          </c:extLst>
        </c:ser>
        <c:ser>
          <c:idx val="8"/>
          <c:order val="8"/>
          <c:tx>
            <c:strRef>
              <c:f>'202402'!$A$75</c:f>
              <c:strCache>
                <c:ptCount val="1"/>
                <c:pt idx="0">
                  <c:v>2022-04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'202402'!$E$75:$E$97</c:f>
              <c:numCache>
                <c:formatCode>General</c:formatCode>
                <c:ptCount val="23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</c:numCache>
            </c:numRef>
          </c:xVal>
          <c:yVal>
            <c:numRef>
              <c:f>'202402'!$H$75:$H$97</c:f>
              <c:numCache>
                <c:formatCode>General</c:formatCode>
                <c:ptCount val="23"/>
                <c:pt idx="0">
                  <c:v>7.2961332452000001</c:v>
                </c:pt>
                <c:pt idx="1">
                  <c:v>7.0586619148</c:v>
                </c:pt>
                <c:pt idx="2">
                  <c:v>6.8211905844</c:v>
                </c:pt>
                <c:pt idx="3">
                  <c:v>6.583719254</c:v>
                </c:pt>
                <c:pt idx="4">
                  <c:v>6.3462479236</c:v>
                </c:pt>
                <c:pt idx="5">
                  <c:v>6.1087765932</c:v>
                </c:pt>
                <c:pt idx="6">
                  <c:v>5.8713052628</c:v>
                </c:pt>
                <c:pt idx="7">
                  <c:v>5.6338339324</c:v>
                </c:pt>
                <c:pt idx="8">
                  <c:v>5.396362602</c:v>
                </c:pt>
                <c:pt idx="9">
                  <c:v>5.1588912714999999</c:v>
                </c:pt>
                <c:pt idx="10">
                  <c:v>4.9214199410999999</c:v>
                </c:pt>
                <c:pt idx="11">
                  <c:v>4.6839486106999999</c:v>
                </c:pt>
                <c:pt idx="12">
                  <c:v>4.4464772802999999</c:v>
                </c:pt>
                <c:pt idx="13">
                  <c:v>4.2090059498999999</c:v>
                </c:pt>
                <c:pt idx="14">
                  <c:v>3.9715346194999999</c:v>
                </c:pt>
                <c:pt idx="15">
                  <c:v>3.7340632890999998</c:v>
                </c:pt>
                <c:pt idx="16">
                  <c:v>3.4965919586999998</c:v>
                </c:pt>
                <c:pt idx="17">
                  <c:v>3.2591206282999998</c:v>
                </c:pt>
                <c:pt idx="18">
                  <c:v>3.0216492978999998</c:v>
                </c:pt>
                <c:pt idx="19">
                  <c:v>2.7841779674999998</c:v>
                </c:pt>
                <c:pt idx="20">
                  <c:v>2.5467066370999998</c:v>
                </c:pt>
                <c:pt idx="21">
                  <c:v>2.3092353067000002</c:v>
                </c:pt>
                <c:pt idx="22">
                  <c:v>2.0717639763000002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258-4D99-91E9-B2B0A238A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6432"/>
        <c:axId val="1"/>
      </c:scatterChart>
      <c:catAx>
        <c:axId val="2830264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64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4.6121593291404611E-2"/>
          <c:w val="0.67140507436570429"/>
          <c:h val="0.77640139322207369"/>
        </c:manualLayout>
      </c:layout>
      <c:lineChart>
        <c:grouping val="standard"/>
        <c:varyColors val="0"/>
        <c:ser>
          <c:idx val="9"/>
          <c:order val="9"/>
          <c:tx>
            <c:v>美國PCE物價指數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'202402'!$W$24:$W$97</c:f>
              <c:numCache>
                <c:formatCode>yyyy\-mm</c:formatCode>
                <c:ptCount val="7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</c:numCache>
            </c:numRef>
          </c:cat>
          <c:val>
            <c:numRef>
              <c:f>'202402'!$AB$24:$AB$97</c:f>
              <c:numCache>
                <c:formatCode>General</c:formatCode>
                <c:ptCount val="74"/>
                <c:pt idx="0">
                  <c:v>101.199</c:v>
                </c:pt>
                <c:pt idx="1">
                  <c:v>101.416</c:v>
                </c:pt>
                <c:pt idx="2">
                  <c:v>101.524</c:v>
                </c:pt>
                <c:pt idx="3">
                  <c:v>101.76600000000001</c:v>
                </c:pt>
                <c:pt idx="4">
                  <c:v>101.941</c:v>
                </c:pt>
                <c:pt idx="5">
                  <c:v>102.029</c:v>
                </c:pt>
                <c:pt idx="6">
                  <c:v>102.137</c:v>
                </c:pt>
                <c:pt idx="7">
                  <c:v>102.208</c:v>
                </c:pt>
                <c:pt idx="8">
                  <c:v>102.41800000000001</c:v>
                </c:pt>
                <c:pt idx="9">
                  <c:v>102.595</c:v>
                </c:pt>
                <c:pt idx="10">
                  <c:v>102.63</c:v>
                </c:pt>
                <c:pt idx="11">
                  <c:v>102.70099999999999</c:v>
                </c:pt>
                <c:pt idx="12">
                  <c:v>102.714</c:v>
                </c:pt>
                <c:pt idx="13">
                  <c:v>102.86199999999999</c:v>
                </c:pt>
                <c:pt idx="14">
                  <c:v>103.056</c:v>
                </c:pt>
                <c:pt idx="15">
                  <c:v>103.371</c:v>
                </c:pt>
                <c:pt idx="16">
                  <c:v>103.426</c:v>
                </c:pt>
                <c:pt idx="17">
                  <c:v>103.46899999999999</c:v>
                </c:pt>
                <c:pt idx="18">
                  <c:v>103.608</c:v>
                </c:pt>
                <c:pt idx="19">
                  <c:v>103.661</c:v>
                </c:pt>
                <c:pt idx="20">
                  <c:v>103.754</c:v>
                </c:pt>
                <c:pt idx="21">
                  <c:v>103.961</c:v>
                </c:pt>
                <c:pt idx="22">
                  <c:v>103.997</c:v>
                </c:pt>
                <c:pt idx="23">
                  <c:v>104.282</c:v>
                </c:pt>
                <c:pt idx="24">
                  <c:v>104.458</c:v>
                </c:pt>
                <c:pt idx="25">
                  <c:v>104.551</c:v>
                </c:pt>
                <c:pt idx="26">
                  <c:v>104.238</c:v>
                </c:pt>
                <c:pt idx="27">
                  <c:v>103.79600000000001</c:v>
                </c:pt>
                <c:pt idx="28">
                  <c:v>103.89</c:v>
                </c:pt>
                <c:pt idx="29">
                  <c:v>104.199</c:v>
                </c:pt>
                <c:pt idx="30">
                  <c:v>104.541</c:v>
                </c:pt>
                <c:pt idx="31">
                  <c:v>104.869</c:v>
                </c:pt>
                <c:pt idx="32">
                  <c:v>105.048</c:v>
                </c:pt>
                <c:pt idx="33">
                  <c:v>105.124</c:v>
                </c:pt>
                <c:pt idx="34">
                  <c:v>105.197</c:v>
                </c:pt>
                <c:pt idx="35">
                  <c:v>105.70699999999999</c:v>
                </c:pt>
                <c:pt idx="36">
                  <c:v>106.145</c:v>
                </c:pt>
                <c:pt idx="37">
                  <c:v>106.52200000000001</c:v>
                </c:pt>
                <c:pt idx="38">
                  <c:v>107.066</c:v>
                </c:pt>
                <c:pt idx="39">
                  <c:v>107.66200000000001</c:v>
                </c:pt>
                <c:pt idx="40">
                  <c:v>108.20699999999999</c:v>
                </c:pt>
                <c:pt idx="41">
                  <c:v>108.755</c:v>
                </c:pt>
                <c:pt idx="42">
                  <c:v>109.28</c:v>
                </c:pt>
                <c:pt idx="43">
                  <c:v>109.74</c:v>
                </c:pt>
                <c:pt idx="44">
                  <c:v>110.096</c:v>
                </c:pt>
                <c:pt idx="45">
                  <c:v>110.80800000000001</c:v>
                </c:pt>
                <c:pt idx="46">
                  <c:v>111.494</c:v>
                </c:pt>
                <c:pt idx="47">
                  <c:v>112.24</c:v>
                </c:pt>
                <c:pt idx="48">
                  <c:v>112.82899999999999</c:v>
                </c:pt>
                <c:pt idx="49">
                  <c:v>113.496</c:v>
                </c:pt>
                <c:pt idx="50">
                  <c:v>114.446</c:v>
                </c:pt>
                <c:pt idx="51">
                  <c:v>114.789</c:v>
                </c:pt>
                <c:pt idx="52">
                  <c:v>115.446</c:v>
                </c:pt>
                <c:pt idx="53">
                  <c:v>116.495</c:v>
                </c:pt>
                <c:pt idx="54">
                  <c:v>116.511</c:v>
                </c:pt>
                <c:pt idx="55">
                  <c:v>116.89</c:v>
                </c:pt>
                <c:pt idx="56">
                  <c:v>117.31399999999999</c:v>
                </c:pt>
                <c:pt idx="57">
                  <c:v>117.842</c:v>
                </c:pt>
                <c:pt idx="58">
                  <c:v>118.104</c:v>
                </c:pt>
                <c:pt idx="59">
                  <c:v>118.348</c:v>
                </c:pt>
                <c:pt idx="60">
                  <c:v>119.011</c:v>
                </c:pt>
                <c:pt idx="61">
                  <c:v>119.386</c:v>
                </c:pt>
                <c:pt idx="62">
                  <c:v>119.53</c:v>
                </c:pt>
                <c:pt idx="63">
                  <c:v>119.893</c:v>
                </c:pt>
                <c:pt idx="64">
                  <c:v>120.02</c:v>
                </c:pt>
                <c:pt idx="65">
                  <c:v>120.221</c:v>
                </c:pt>
                <c:pt idx="66">
                  <c:v>120.373</c:v>
                </c:pt>
                <c:pt idx="67">
                  <c:v>120.803</c:v>
                </c:pt>
                <c:pt idx="68">
                  <c:v>121.267</c:v>
                </c:pt>
                <c:pt idx="69">
                  <c:v>121.309</c:v>
                </c:pt>
                <c:pt idx="70">
                  <c:v>121.29600000000001</c:v>
                </c:pt>
                <c:pt idx="71">
                  <c:v>121.44799999999999</c:v>
                </c:pt>
                <c:pt idx="72">
                  <c:v>121.90600000000001</c:v>
                </c:pt>
                <c:pt idx="73">
                  <c:v>122.312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2-424C-B028-A966C0C86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8032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92-424C-B028-A966C0C86B99}"/>
            </c:ext>
          </c:extLst>
        </c:ser>
        <c:ser>
          <c:idx val="1"/>
          <c:order val="1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92-424C-B028-A966C0C86B99}"/>
            </c:ext>
          </c:extLst>
        </c:ser>
        <c:ser>
          <c:idx val="2"/>
          <c:order val="2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92-424C-B028-A966C0C86B99}"/>
            </c:ext>
          </c:extLst>
        </c:ser>
        <c:ser>
          <c:idx val="3"/>
          <c:order val="3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92-424C-B028-A966C0C86B99}"/>
            </c:ext>
          </c:extLst>
        </c:ser>
        <c:ser>
          <c:idx val="4"/>
          <c:order val="4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92-424C-B028-A966C0C86B99}"/>
            </c:ext>
          </c:extLst>
        </c:ser>
        <c:ser>
          <c:idx val="5"/>
          <c:order val="5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92-424C-B028-A966C0C86B99}"/>
            </c:ext>
          </c:extLst>
        </c:ser>
        <c:ser>
          <c:idx val="6"/>
          <c:order val="6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92-424C-B028-A966C0C86B99}"/>
            </c:ext>
          </c:extLst>
        </c:ser>
        <c:ser>
          <c:idx val="7"/>
          <c:order val="7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92-424C-B028-A966C0C86B99}"/>
            </c:ext>
          </c:extLst>
        </c:ser>
        <c:ser>
          <c:idx val="8"/>
          <c:order val="8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'202402'!$Z$88:$Z$97</c:f>
              <c:numCache>
                <c:formatCode>General</c:formatCode>
                <c:ptCount val="10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</c:numCache>
            </c:numRef>
          </c:xVal>
          <c:yVal>
            <c:numRef>
              <c:f>'202402'!$AC$88:$AC$97</c:f>
              <c:numCache>
                <c:formatCode>General</c:formatCode>
                <c:ptCount val="10"/>
                <c:pt idx="0">
                  <c:v>120.0231636364</c:v>
                </c:pt>
                <c:pt idx="1">
                  <c:v>120.2614606061</c:v>
                </c:pt>
                <c:pt idx="2">
                  <c:v>120.4997575758</c:v>
                </c:pt>
                <c:pt idx="3">
                  <c:v>120.73805454550001</c:v>
                </c:pt>
                <c:pt idx="4">
                  <c:v>120.97635151519999</c:v>
                </c:pt>
                <c:pt idx="5">
                  <c:v>121.21464848479999</c:v>
                </c:pt>
                <c:pt idx="6">
                  <c:v>121.4529454545</c:v>
                </c:pt>
                <c:pt idx="7">
                  <c:v>121.6912424242</c:v>
                </c:pt>
                <c:pt idx="8">
                  <c:v>121.9295393939</c:v>
                </c:pt>
                <c:pt idx="9">
                  <c:v>122.1678363636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692-424C-B028-A966C0C86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8032"/>
        <c:axId val="1"/>
      </c:scatterChart>
      <c:catAx>
        <c:axId val="2830280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80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4.6121593291404611E-2"/>
          <c:w val="0.67140507436570429"/>
          <c:h val="0.77640139322207369"/>
        </c:manualLayout>
      </c:layout>
      <c:lineChart>
        <c:grouping val="standard"/>
        <c:varyColors val="0"/>
        <c:ser>
          <c:idx val="9"/>
          <c:order val="10"/>
          <c:tx>
            <c:v>美國PCE物價指數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'202402'!$W$24:$W$97</c:f>
              <c:numCache>
                <c:formatCode>yyyy\-mm</c:formatCode>
                <c:ptCount val="7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</c:numCache>
            </c:numRef>
          </c:cat>
          <c:val>
            <c:numRef>
              <c:f>'202402'!$AB$24:$AB$97</c:f>
              <c:numCache>
                <c:formatCode>General</c:formatCode>
                <c:ptCount val="74"/>
                <c:pt idx="0">
                  <c:v>101.199</c:v>
                </c:pt>
                <c:pt idx="1">
                  <c:v>101.416</c:v>
                </c:pt>
                <c:pt idx="2">
                  <c:v>101.524</c:v>
                </c:pt>
                <c:pt idx="3">
                  <c:v>101.76600000000001</c:v>
                </c:pt>
                <c:pt idx="4">
                  <c:v>101.941</c:v>
                </c:pt>
                <c:pt idx="5">
                  <c:v>102.029</c:v>
                </c:pt>
                <c:pt idx="6">
                  <c:v>102.137</c:v>
                </c:pt>
                <c:pt idx="7">
                  <c:v>102.208</c:v>
                </c:pt>
                <c:pt idx="8">
                  <c:v>102.41800000000001</c:v>
                </c:pt>
                <c:pt idx="9">
                  <c:v>102.595</c:v>
                </c:pt>
                <c:pt idx="10">
                  <c:v>102.63</c:v>
                </c:pt>
                <c:pt idx="11">
                  <c:v>102.70099999999999</c:v>
                </c:pt>
                <c:pt idx="12">
                  <c:v>102.714</c:v>
                </c:pt>
                <c:pt idx="13">
                  <c:v>102.86199999999999</c:v>
                </c:pt>
                <c:pt idx="14">
                  <c:v>103.056</c:v>
                </c:pt>
                <c:pt idx="15">
                  <c:v>103.371</c:v>
                </c:pt>
                <c:pt idx="16">
                  <c:v>103.426</c:v>
                </c:pt>
                <c:pt idx="17">
                  <c:v>103.46899999999999</c:v>
                </c:pt>
                <c:pt idx="18">
                  <c:v>103.608</c:v>
                </c:pt>
                <c:pt idx="19">
                  <c:v>103.661</c:v>
                </c:pt>
                <c:pt idx="20">
                  <c:v>103.754</c:v>
                </c:pt>
                <c:pt idx="21">
                  <c:v>103.961</c:v>
                </c:pt>
                <c:pt idx="22">
                  <c:v>103.997</c:v>
                </c:pt>
                <c:pt idx="23">
                  <c:v>104.282</c:v>
                </c:pt>
                <c:pt idx="24">
                  <c:v>104.458</c:v>
                </c:pt>
                <c:pt idx="25">
                  <c:v>104.551</c:v>
                </c:pt>
                <c:pt idx="26">
                  <c:v>104.238</c:v>
                </c:pt>
                <c:pt idx="27">
                  <c:v>103.79600000000001</c:v>
                </c:pt>
                <c:pt idx="28">
                  <c:v>103.89</c:v>
                </c:pt>
                <c:pt idx="29">
                  <c:v>104.199</c:v>
                </c:pt>
                <c:pt idx="30">
                  <c:v>104.541</c:v>
                </c:pt>
                <c:pt idx="31">
                  <c:v>104.869</c:v>
                </c:pt>
                <c:pt idx="32">
                  <c:v>105.048</c:v>
                </c:pt>
                <c:pt idx="33">
                  <c:v>105.124</c:v>
                </c:pt>
                <c:pt idx="34">
                  <c:v>105.197</c:v>
                </c:pt>
                <c:pt idx="35">
                  <c:v>105.70699999999999</c:v>
                </c:pt>
                <c:pt idx="36">
                  <c:v>106.145</c:v>
                </c:pt>
                <c:pt idx="37">
                  <c:v>106.52200000000001</c:v>
                </c:pt>
                <c:pt idx="38">
                  <c:v>107.066</c:v>
                </c:pt>
                <c:pt idx="39">
                  <c:v>107.66200000000001</c:v>
                </c:pt>
                <c:pt idx="40">
                  <c:v>108.20699999999999</c:v>
                </c:pt>
                <c:pt idx="41">
                  <c:v>108.755</c:v>
                </c:pt>
                <c:pt idx="42">
                  <c:v>109.28</c:v>
                </c:pt>
                <c:pt idx="43">
                  <c:v>109.74</c:v>
                </c:pt>
                <c:pt idx="44">
                  <c:v>110.096</c:v>
                </c:pt>
                <c:pt idx="45">
                  <c:v>110.80800000000001</c:v>
                </c:pt>
                <c:pt idx="46">
                  <c:v>111.494</c:v>
                </c:pt>
                <c:pt idx="47">
                  <c:v>112.24</c:v>
                </c:pt>
                <c:pt idx="48">
                  <c:v>112.82899999999999</c:v>
                </c:pt>
                <c:pt idx="49">
                  <c:v>113.496</c:v>
                </c:pt>
                <c:pt idx="50">
                  <c:v>114.446</c:v>
                </c:pt>
                <c:pt idx="51">
                  <c:v>114.789</c:v>
                </c:pt>
                <c:pt idx="52">
                  <c:v>115.446</c:v>
                </c:pt>
                <c:pt idx="53">
                  <c:v>116.495</c:v>
                </c:pt>
                <c:pt idx="54">
                  <c:v>116.511</c:v>
                </c:pt>
                <c:pt idx="55">
                  <c:v>116.89</c:v>
                </c:pt>
                <c:pt idx="56">
                  <c:v>117.31399999999999</c:v>
                </c:pt>
                <c:pt idx="57">
                  <c:v>117.842</c:v>
                </c:pt>
                <c:pt idx="58">
                  <c:v>118.104</c:v>
                </c:pt>
                <c:pt idx="59">
                  <c:v>118.348</c:v>
                </c:pt>
                <c:pt idx="60">
                  <c:v>119.011</c:v>
                </c:pt>
                <c:pt idx="61">
                  <c:v>119.386</c:v>
                </c:pt>
                <c:pt idx="62">
                  <c:v>119.53</c:v>
                </c:pt>
                <c:pt idx="63">
                  <c:v>119.893</c:v>
                </c:pt>
                <c:pt idx="64">
                  <c:v>120.02</c:v>
                </c:pt>
                <c:pt idx="65">
                  <c:v>120.221</c:v>
                </c:pt>
                <c:pt idx="66">
                  <c:v>120.373</c:v>
                </c:pt>
                <c:pt idx="67">
                  <c:v>120.803</c:v>
                </c:pt>
                <c:pt idx="68">
                  <c:v>121.267</c:v>
                </c:pt>
                <c:pt idx="69">
                  <c:v>121.309</c:v>
                </c:pt>
                <c:pt idx="70">
                  <c:v>121.29600000000001</c:v>
                </c:pt>
                <c:pt idx="71">
                  <c:v>121.44799999999999</c:v>
                </c:pt>
                <c:pt idx="72">
                  <c:v>121.90600000000001</c:v>
                </c:pt>
                <c:pt idx="73">
                  <c:v>122.312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1-4373-BE36-E6F76D55E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15632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1-4373-BE36-E6F76D55E948}"/>
            </c:ext>
          </c:extLst>
        </c:ser>
        <c:ser>
          <c:idx val="1"/>
          <c:order val="1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61-4373-BE36-E6F76D55E948}"/>
            </c:ext>
          </c:extLst>
        </c:ser>
        <c:ser>
          <c:idx val="2"/>
          <c:order val="2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61-4373-BE36-E6F76D55E948}"/>
            </c:ext>
          </c:extLst>
        </c:ser>
        <c:ser>
          <c:idx val="3"/>
          <c:order val="3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61-4373-BE36-E6F76D55E948}"/>
            </c:ext>
          </c:extLst>
        </c:ser>
        <c:ser>
          <c:idx val="4"/>
          <c:order val="4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61-4373-BE36-E6F76D55E948}"/>
            </c:ext>
          </c:extLst>
        </c:ser>
        <c:ser>
          <c:idx val="5"/>
          <c:order val="5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61-4373-BE36-E6F76D55E948}"/>
            </c:ext>
          </c:extLst>
        </c:ser>
        <c:ser>
          <c:idx val="6"/>
          <c:order val="6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61-4373-BE36-E6F76D55E948}"/>
            </c:ext>
          </c:extLst>
        </c:ser>
        <c:ser>
          <c:idx val="7"/>
          <c:order val="7"/>
          <c:tx>
            <c:strRef>
              <c:f>'202401'!#REF!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'202401'!#REF!</c:f>
            </c:numRef>
          </c:xVal>
          <c:yVal>
            <c:numRef>
              <c:f>'202401'!#REF!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C61-4373-BE36-E6F76D55E948}"/>
            </c:ext>
          </c:extLst>
        </c:ser>
        <c:ser>
          <c:idx val="8"/>
          <c:order val="8"/>
          <c:tx>
            <c:strRef>
              <c:f>'202402'!$W$88</c:f>
              <c:strCache>
                <c:ptCount val="1"/>
                <c:pt idx="0">
                  <c:v>2023-05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'202402'!$Z$88:$Z$93</c:f>
              <c:numCache>
                <c:formatCode>General</c:formatCode>
                <c:ptCount val="6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</c:numCache>
            </c:numRef>
          </c:xVal>
          <c:yVal>
            <c:numRef>
              <c:f>'202402'!$AE$88:$AE$93</c:f>
              <c:numCache>
                <c:formatCode>General</c:formatCode>
                <c:ptCount val="6"/>
                <c:pt idx="0">
                  <c:v>119.95028571428571</c:v>
                </c:pt>
                <c:pt idx="1">
                  <c:v>120.23637142857142</c:v>
                </c:pt>
                <c:pt idx="2">
                  <c:v>120.52245714285714</c:v>
                </c:pt>
                <c:pt idx="3">
                  <c:v>120.80854285714284</c:v>
                </c:pt>
                <c:pt idx="4">
                  <c:v>121.09462857142856</c:v>
                </c:pt>
                <c:pt idx="5">
                  <c:v>121.38071428571428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C61-4373-BE36-E6F76D55E948}"/>
            </c:ext>
          </c:extLst>
        </c:ser>
        <c:ser>
          <c:idx val="10"/>
          <c:order val="9"/>
          <c:tx>
            <c:strRef>
              <c:f>'202402'!$W$94</c:f>
              <c:strCache>
                <c:ptCount val="1"/>
                <c:pt idx="0">
                  <c:v>2023-11</c:v>
                </c:pt>
              </c:strCache>
            </c:strRef>
          </c:tx>
          <c:xVal>
            <c:numRef>
              <c:f>'202402'!$Z$94:$Z$97</c:f>
              <c:numCache>
                <c:formatCode>General</c:formatCode>
                <c:ptCount val="4"/>
                <c:pt idx="0">
                  <c:v>71</c:v>
                </c:pt>
                <c:pt idx="1">
                  <c:v>72</c:v>
                </c:pt>
                <c:pt idx="2">
                  <c:v>73</c:v>
                </c:pt>
                <c:pt idx="3">
                  <c:v>74</c:v>
                </c:pt>
              </c:numCache>
            </c:numRef>
          </c:xVal>
          <c:yVal>
            <c:numRef>
              <c:f>'202402'!$AE$94:$AE$97</c:f>
              <c:numCache>
                <c:formatCode>General</c:formatCode>
                <c:ptCount val="4"/>
                <c:pt idx="0">
                  <c:v>121.2146</c:v>
                </c:pt>
                <c:pt idx="1">
                  <c:v>121.5652</c:v>
                </c:pt>
                <c:pt idx="2">
                  <c:v>121.91579999999999</c:v>
                </c:pt>
                <c:pt idx="3">
                  <c:v>122.2664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C61-4373-BE36-E6F76D55E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15632"/>
        <c:axId val="1"/>
      </c:scatterChart>
      <c:catAx>
        <c:axId val="2830156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156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9"/>
          <c:order val="9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'202401'!$A$24:$A$96</c:f>
              <c:numCache>
                <c:formatCode>yyyy\-mm</c:formatCode>
                <c:ptCount val="73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</c:numCache>
            </c:numRef>
          </c:cat>
          <c:val>
            <c:numRef>
              <c:f>'202401'!$G$24:$G$96</c:f>
              <c:numCache>
                <c:formatCode>General</c:formatCode>
                <c:ptCount val="73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1.4970503660000001</c:v>
                </c:pt>
                <c:pt idx="13">
                  <c:v>1.425810523</c:v>
                </c:pt>
                <c:pt idx="14">
                  <c:v>1.509002797</c:v>
                </c:pt>
                <c:pt idx="15">
                  <c:v>1.5771475740000001</c:v>
                </c:pt>
                <c:pt idx="16">
                  <c:v>1.4567249680000001</c:v>
                </c:pt>
                <c:pt idx="17">
                  <c:v>1.411363436</c:v>
                </c:pt>
                <c:pt idx="18">
                  <c:v>1.4402224459999999</c:v>
                </c:pt>
                <c:pt idx="19">
                  <c:v>1.4216108329999999</c:v>
                </c:pt>
                <c:pt idx="20">
                  <c:v>1.3044582010000001</c:v>
                </c:pt>
                <c:pt idx="21">
                  <c:v>1.3314489009999999</c:v>
                </c:pt>
                <c:pt idx="22">
                  <c:v>1.33196921</c:v>
                </c:pt>
                <c:pt idx="23">
                  <c:v>1.5394202589999999</c:v>
                </c:pt>
                <c:pt idx="24">
                  <c:v>1.6979184919999999</c:v>
                </c:pt>
                <c:pt idx="25">
                  <c:v>1.6420057939999999</c:v>
                </c:pt>
                <c:pt idx="26">
                  <c:v>1.146949231</c:v>
                </c:pt>
                <c:pt idx="27">
                  <c:v>0.41114045500000002</c:v>
                </c:pt>
                <c:pt idx="28">
                  <c:v>0.44862993800000001</c:v>
                </c:pt>
                <c:pt idx="29">
                  <c:v>0.70552532599999995</c:v>
                </c:pt>
                <c:pt idx="30">
                  <c:v>0.90050961299999999</c:v>
                </c:pt>
                <c:pt idx="31">
                  <c:v>1.1653370119999999</c:v>
                </c:pt>
                <c:pt idx="32">
                  <c:v>1.247180832</c:v>
                </c:pt>
                <c:pt idx="33">
                  <c:v>1.118688739</c:v>
                </c:pt>
                <c:pt idx="34">
                  <c:v>1.153879439</c:v>
                </c:pt>
                <c:pt idx="35">
                  <c:v>1.3664870259999999</c:v>
                </c:pt>
                <c:pt idx="36">
                  <c:v>1.615003159</c:v>
                </c:pt>
                <c:pt idx="37">
                  <c:v>1.88520435</c:v>
                </c:pt>
                <c:pt idx="38">
                  <c:v>2.7130221219999999</c:v>
                </c:pt>
                <c:pt idx="39">
                  <c:v>3.7246136650000001</c:v>
                </c:pt>
                <c:pt idx="40">
                  <c:v>4.1553566269999997</c:v>
                </c:pt>
                <c:pt idx="41">
                  <c:v>4.3724028060000002</c:v>
                </c:pt>
                <c:pt idx="42">
                  <c:v>4.5331496729999996</c:v>
                </c:pt>
                <c:pt idx="43">
                  <c:v>4.6448426129999998</c:v>
                </c:pt>
                <c:pt idx="44">
                  <c:v>4.8054222830000004</c:v>
                </c:pt>
                <c:pt idx="45">
                  <c:v>5.4069479850000004</c:v>
                </c:pt>
                <c:pt idx="46">
                  <c:v>5.9859121460000004</c:v>
                </c:pt>
                <c:pt idx="47">
                  <c:v>6.1802908040000002</c:v>
                </c:pt>
                <c:pt idx="48">
                  <c:v>6.2970464929999999</c:v>
                </c:pt>
                <c:pt idx="49">
                  <c:v>6.5470043750000002</c:v>
                </c:pt>
                <c:pt idx="50">
                  <c:v>6.8929445390000001</c:v>
                </c:pt>
                <c:pt idx="51">
                  <c:v>6.6197915700000003</c:v>
                </c:pt>
                <c:pt idx="52">
                  <c:v>6.6899553630000002</c:v>
                </c:pt>
                <c:pt idx="53">
                  <c:v>7.1169141649999998</c:v>
                </c:pt>
                <c:pt idx="54">
                  <c:v>6.6169472909999998</c:v>
                </c:pt>
                <c:pt idx="55">
                  <c:v>6.515400036</c:v>
                </c:pt>
                <c:pt idx="56">
                  <c:v>6.5560964979999996</c:v>
                </c:pt>
                <c:pt idx="57">
                  <c:v>6.3479171179999998</c:v>
                </c:pt>
                <c:pt idx="58">
                  <c:v>5.9285701470000003</c:v>
                </c:pt>
                <c:pt idx="59">
                  <c:v>5.4419101919999999</c:v>
                </c:pt>
                <c:pt idx="60">
                  <c:v>5.4790878230000004</c:v>
                </c:pt>
                <c:pt idx="61">
                  <c:v>5.1896102070000003</c:v>
                </c:pt>
                <c:pt idx="62">
                  <c:v>4.4422697170000003</c:v>
                </c:pt>
                <c:pt idx="63">
                  <c:v>4.4464190820000002</c:v>
                </c:pt>
                <c:pt idx="64">
                  <c:v>3.9620255360000001</c:v>
                </c:pt>
                <c:pt idx="65">
                  <c:v>3.1984205330000002</c:v>
                </c:pt>
                <c:pt idx="66">
                  <c:v>3.3147084819999999</c:v>
                </c:pt>
                <c:pt idx="67">
                  <c:v>3.3475917530000001</c:v>
                </c:pt>
                <c:pt idx="68">
                  <c:v>3.369589307</c:v>
                </c:pt>
                <c:pt idx="69">
                  <c:v>2.9505609210000001</c:v>
                </c:pt>
                <c:pt idx="70">
                  <c:v>2.7120165279999999</c:v>
                </c:pt>
                <c:pt idx="71">
                  <c:v>2.6219285499999998</c:v>
                </c:pt>
                <c:pt idx="72">
                  <c:v>2.4022989469999998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97-44CB-86B1-C4457B413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4432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'202312'!$E$24:$E$28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97-44CB-86B1-C4457B413C5A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97-44CB-86B1-C4457B413C5A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'202312'!$E$36:$E$46</c:f>
              <c:numCache>
                <c:formatCode>General</c:formatCode>
                <c:ptCount val="11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</c:numCache>
            </c:numRef>
          </c:xVal>
          <c:yVal>
            <c:numRef>
              <c:f>'202312'!$H$36:$H$46</c:f>
              <c:numCache>
                <c:formatCode>General</c:formatCode>
                <c:ptCount val="11"/>
                <c:pt idx="0">
                  <c:v>1.5253491168</c:v>
                </c:pt>
                <c:pt idx="1">
                  <c:v>1.5058576435</c:v>
                </c:pt>
                <c:pt idx="2">
                  <c:v>1.4863661703</c:v>
                </c:pt>
                <c:pt idx="3">
                  <c:v>1.4668746969999999</c:v>
                </c:pt>
                <c:pt idx="4">
                  <c:v>1.4473832236999999</c:v>
                </c:pt>
                <c:pt idx="5">
                  <c:v>1.4278917504999999</c:v>
                </c:pt>
                <c:pt idx="6">
                  <c:v>1.4084002771999999</c:v>
                </c:pt>
                <c:pt idx="7">
                  <c:v>1.3889088038999999</c:v>
                </c:pt>
                <c:pt idx="8">
                  <c:v>1.3694173305999999</c:v>
                </c:pt>
                <c:pt idx="9">
                  <c:v>1.3499258573999999</c:v>
                </c:pt>
                <c:pt idx="10">
                  <c:v>1.3304343840999999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97-44CB-86B1-C4457B413C5A}"/>
            </c:ext>
          </c:extLst>
        </c:ser>
        <c:ser>
          <c:idx val="3"/>
          <c:order val="3"/>
          <c:tx>
            <c:strRef>
              <c:f>'202312'!$A$47</c:f>
              <c:strCache>
                <c:ptCount val="1"/>
                <c:pt idx="0">
                  <c:v>2019-12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'202312'!$E$47:$E$52</c:f>
              <c:numCache>
                <c:formatCode>General</c:formatCode>
                <c:ptCount val="6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</c:numCache>
            </c:numRef>
          </c:xVal>
          <c:yVal>
            <c:numRef>
              <c:f>'202312'!$H$47:$H$52</c:f>
              <c:numCache>
                <c:formatCode>General</c:formatCode>
                <c:ptCount val="6"/>
                <c:pt idx="0">
                  <c:v>1.8483446670999999</c:v>
                </c:pt>
                <c:pt idx="1">
                  <c:v>1.5680777449000001</c:v>
                </c:pt>
                <c:pt idx="2">
                  <c:v>1.2878108226</c:v>
                </c:pt>
                <c:pt idx="3">
                  <c:v>1.0075439004</c:v>
                </c:pt>
                <c:pt idx="4">
                  <c:v>0.72727697810000003</c:v>
                </c:pt>
                <c:pt idx="5">
                  <c:v>0.44701005589999998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97-44CB-86B1-C4457B413C5A}"/>
            </c:ext>
          </c:extLst>
        </c:ser>
        <c:ser>
          <c:idx val="4"/>
          <c:order val="4"/>
          <c:tx>
            <c:strRef>
              <c:f>'202312'!$A$53</c:f>
              <c:strCache>
                <c:ptCount val="1"/>
                <c:pt idx="0">
                  <c:v>2020-06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'202312'!$E$53:$E$57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</c:numCache>
            </c:numRef>
          </c:xVal>
          <c:yVal>
            <c:numRef>
              <c:f>'202312'!$H$53:$H$57</c:f>
              <c:numCache>
                <c:formatCode>General</c:formatCode>
                <c:ptCount val="5"/>
                <c:pt idx="0">
                  <c:v>0.79284869540000003</c:v>
                </c:pt>
                <c:pt idx="1">
                  <c:v>0.91014849990000002</c:v>
                </c:pt>
                <c:pt idx="2">
                  <c:v>1.0274483044</c:v>
                </c:pt>
                <c:pt idx="3">
                  <c:v>1.1447481089</c:v>
                </c:pt>
                <c:pt idx="4">
                  <c:v>1.2620479134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97-44CB-86B1-C4457B413C5A}"/>
            </c:ext>
          </c:extLst>
        </c:ser>
        <c:ser>
          <c:idx val="5"/>
          <c:order val="5"/>
          <c:tx>
            <c:strRef>
              <c:f>'202312'!$A$58</c:f>
              <c:strCache>
                <c:ptCount val="1"/>
                <c:pt idx="0">
                  <c:v>2020-11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'202312'!$E$58:$E$62</c:f>
              <c:numCache>
                <c:formatCode>General</c:formatCode>
                <c:ptCount val="5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</c:numCache>
            </c:numRef>
          </c:xVal>
          <c:yVal>
            <c:numRef>
              <c:f>'202312'!$H$58:$H$62</c:f>
              <c:numCache>
                <c:formatCode>General</c:formatCode>
                <c:ptCount val="5"/>
                <c:pt idx="0">
                  <c:v>1.0193186811999999</c:v>
                </c:pt>
                <c:pt idx="1">
                  <c:v>1.3830189502000001</c:v>
                </c:pt>
                <c:pt idx="2">
                  <c:v>1.7467192192000001</c:v>
                </c:pt>
                <c:pt idx="3">
                  <c:v>2.1104194881999998</c:v>
                </c:pt>
                <c:pt idx="4">
                  <c:v>2.4741197572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C97-44CB-86B1-C4457B413C5A}"/>
            </c:ext>
          </c:extLst>
        </c:ser>
        <c:ser>
          <c:idx val="6"/>
          <c:order val="6"/>
          <c:tx>
            <c:strRef>
              <c:f>'202312'!$A$63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'202312'!$E$63:$E$68</c:f>
              <c:numCache>
                <c:formatCode>General</c:formatCode>
                <c:ptCount val="6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</c:numCache>
            </c:numRef>
          </c:xVal>
          <c:yVal>
            <c:numRef>
              <c:f>'202312'!$H$63:$H$68</c:f>
              <c:numCache>
                <c:formatCode>General</c:formatCode>
                <c:ptCount val="6"/>
                <c:pt idx="0">
                  <c:v>3.8702564268000001</c:v>
                </c:pt>
                <c:pt idx="1">
                  <c:v>4.0712063672000003</c:v>
                </c:pt>
                <c:pt idx="2">
                  <c:v>4.2721563076000004</c:v>
                </c:pt>
                <c:pt idx="3">
                  <c:v>4.4731062479999997</c:v>
                </c:pt>
                <c:pt idx="4">
                  <c:v>4.6740561884999998</c:v>
                </c:pt>
                <c:pt idx="5">
                  <c:v>4.8750061289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C97-44CB-86B1-C4457B413C5A}"/>
            </c:ext>
          </c:extLst>
        </c:ser>
        <c:ser>
          <c:idx val="7"/>
          <c:order val="7"/>
          <c:tx>
            <c:strRef>
              <c:f>'202312'!$A$69</c:f>
              <c:strCache>
                <c:ptCount val="1"/>
                <c:pt idx="0">
                  <c:v>2021-10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'202312'!$E$69:$E$74</c:f>
              <c:numCache>
                <c:formatCode>General</c:formatCode>
                <c:ptCount val="6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</c:numCache>
            </c:numRef>
          </c:xVal>
          <c:yVal>
            <c:numRef>
              <c:f>'202312'!$H$69:$H$74</c:f>
              <c:numCache>
                <c:formatCode>General</c:formatCode>
                <c:ptCount val="6"/>
                <c:pt idx="0">
                  <c:v>5.5590709274999996</c:v>
                </c:pt>
                <c:pt idx="1">
                  <c:v>5.8227856459999998</c:v>
                </c:pt>
                <c:pt idx="2">
                  <c:v>6.0865003644</c:v>
                </c:pt>
                <c:pt idx="3">
                  <c:v>6.3502150829000001</c:v>
                </c:pt>
                <c:pt idx="4">
                  <c:v>6.6139298014000003</c:v>
                </c:pt>
                <c:pt idx="5">
                  <c:v>6.8776445197999996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C97-44CB-86B1-C4457B413C5A}"/>
            </c:ext>
          </c:extLst>
        </c:ser>
        <c:ser>
          <c:idx val="8"/>
          <c:order val="8"/>
          <c:tx>
            <c:strRef>
              <c:f>'202401'!$A$75</c:f>
              <c:strCache>
                <c:ptCount val="1"/>
                <c:pt idx="0">
                  <c:v>2022-04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'202401'!$E$75:$E$96</c:f>
              <c:numCache>
                <c:formatCode>General</c:formatCode>
                <c:ptCount val="22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</c:numCache>
            </c:numRef>
          </c:xVal>
          <c:yVal>
            <c:numRef>
              <c:f>'202401'!$H$75:$H$96</c:f>
              <c:numCache>
                <c:formatCode>General</c:formatCode>
                <c:ptCount val="22"/>
                <c:pt idx="0">
                  <c:v>7.3319343367999998</c:v>
                </c:pt>
                <c:pt idx="1">
                  <c:v>7.0893692906999997</c:v>
                </c:pt>
                <c:pt idx="2">
                  <c:v>6.8468042446000004</c:v>
                </c:pt>
                <c:pt idx="3">
                  <c:v>6.6042391986000002</c:v>
                </c:pt>
                <c:pt idx="4">
                  <c:v>6.3616741525</c:v>
                </c:pt>
                <c:pt idx="5">
                  <c:v>6.1191091063999998</c:v>
                </c:pt>
                <c:pt idx="6">
                  <c:v>5.8765440602999996</c:v>
                </c:pt>
                <c:pt idx="7">
                  <c:v>5.6339790143000004</c:v>
                </c:pt>
                <c:pt idx="8">
                  <c:v>5.3914139682000002</c:v>
                </c:pt>
                <c:pt idx="9">
                  <c:v>5.1488489221</c:v>
                </c:pt>
                <c:pt idx="10">
                  <c:v>4.9062838759999998</c:v>
                </c:pt>
                <c:pt idx="11">
                  <c:v>4.6637188299999996</c:v>
                </c:pt>
                <c:pt idx="12">
                  <c:v>4.4211537839000004</c:v>
                </c:pt>
                <c:pt idx="13">
                  <c:v>4.1785887378000002</c:v>
                </c:pt>
                <c:pt idx="14">
                  <c:v>3.9360236917</c:v>
                </c:pt>
                <c:pt idx="15">
                  <c:v>3.6934586456999998</c:v>
                </c:pt>
                <c:pt idx="16">
                  <c:v>3.4508935996000001</c:v>
                </c:pt>
                <c:pt idx="17">
                  <c:v>3.2083285534999999</c:v>
                </c:pt>
                <c:pt idx="18">
                  <c:v>2.9657635074000002</c:v>
                </c:pt>
                <c:pt idx="19">
                  <c:v>2.7231984614</c:v>
                </c:pt>
                <c:pt idx="20">
                  <c:v>2.4806334152999998</c:v>
                </c:pt>
                <c:pt idx="21">
                  <c:v>2.2380683692000001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C97-44CB-86B1-C4457B413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4432"/>
        <c:axId val="1"/>
      </c:scatterChart>
      <c:catAx>
        <c:axId val="2830244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44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9"/>
          <c:order val="9"/>
          <c:tx>
            <c:v>美國PCE物價年增率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'202312'!$A$24:$A$95</c:f>
              <c:numCache>
                <c:formatCode>yyyy\-mm</c:formatCode>
                <c:ptCount val="7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</c:numCache>
            </c:numRef>
          </c:cat>
          <c:val>
            <c:numRef>
              <c:f>'202312'!$G$24:$G$95</c:f>
              <c:numCache>
                <c:formatCode>General</c:formatCode>
                <c:ptCount val="72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1.4970503660000001</c:v>
                </c:pt>
                <c:pt idx="13">
                  <c:v>1.425810523</c:v>
                </c:pt>
                <c:pt idx="14">
                  <c:v>1.509002797</c:v>
                </c:pt>
                <c:pt idx="15">
                  <c:v>1.5771475740000001</c:v>
                </c:pt>
                <c:pt idx="16">
                  <c:v>1.4567249680000001</c:v>
                </c:pt>
                <c:pt idx="17">
                  <c:v>1.411363436</c:v>
                </c:pt>
                <c:pt idx="18">
                  <c:v>1.4402224459999999</c:v>
                </c:pt>
                <c:pt idx="19">
                  <c:v>1.4216108329999999</c:v>
                </c:pt>
                <c:pt idx="20">
                  <c:v>1.3044582010000001</c:v>
                </c:pt>
                <c:pt idx="21">
                  <c:v>1.3314489009999999</c:v>
                </c:pt>
                <c:pt idx="22">
                  <c:v>1.33196921</c:v>
                </c:pt>
                <c:pt idx="23">
                  <c:v>1.5394202589999999</c:v>
                </c:pt>
                <c:pt idx="24">
                  <c:v>1.6979184919999999</c:v>
                </c:pt>
                <c:pt idx="25">
                  <c:v>1.6420057939999999</c:v>
                </c:pt>
                <c:pt idx="26">
                  <c:v>1.146949231</c:v>
                </c:pt>
                <c:pt idx="27">
                  <c:v>0.41114045500000002</c:v>
                </c:pt>
                <c:pt idx="28">
                  <c:v>0.44862993800000001</c:v>
                </c:pt>
                <c:pt idx="29">
                  <c:v>0.70552532599999995</c:v>
                </c:pt>
                <c:pt idx="30">
                  <c:v>0.90050961299999999</c:v>
                </c:pt>
                <c:pt idx="31">
                  <c:v>1.1653370119999999</c:v>
                </c:pt>
                <c:pt idx="32">
                  <c:v>1.247180832</c:v>
                </c:pt>
                <c:pt idx="33">
                  <c:v>1.118688739</c:v>
                </c:pt>
                <c:pt idx="34">
                  <c:v>1.153879439</c:v>
                </c:pt>
                <c:pt idx="35">
                  <c:v>1.3664870259999999</c:v>
                </c:pt>
                <c:pt idx="36">
                  <c:v>1.615003159</c:v>
                </c:pt>
                <c:pt idx="37">
                  <c:v>1.88520435</c:v>
                </c:pt>
                <c:pt idx="38">
                  <c:v>2.7130221219999999</c:v>
                </c:pt>
                <c:pt idx="39">
                  <c:v>3.7246136650000001</c:v>
                </c:pt>
                <c:pt idx="40">
                  <c:v>4.1553566269999997</c:v>
                </c:pt>
                <c:pt idx="41">
                  <c:v>4.3724028060000002</c:v>
                </c:pt>
                <c:pt idx="42">
                  <c:v>4.5331496729999996</c:v>
                </c:pt>
                <c:pt idx="43">
                  <c:v>4.6448426129999998</c:v>
                </c:pt>
                <c:pt idx="44">
                  <c:v>4.8054222830000004</c:v>
                </c:pt>
                <c:pt idx="45">
                  <c:v>5.4069479850000004</c:v>
                </c:pt>
                <c:pt idx="46">
                  <c:v>5.9859121460000004</c:v>
                </c:pt>
                <c:pt idx="47">
                  <c:v>6.1802908040000002</c:v>
                </c:pt>
                <c:pt idx="48">
                  <c:v>6.2970464929999999</c:v>
                </c:pt>
                <c:pt idx="49">
                  <c:v>6.5470043750000002</c:v>
                </c:pt>
                <c:pt idx="50">
                  <c:v>6.8929445390000001</c:v>
                </c:pt>
                <c:pt idx="51">
                  <c:v>6.6197915700000003</c:v>
                </c:pt>
                <c:pt idx="52">
                  <c:v>6.6899553630000002</c:v>
                </c:pt>
                <c:pt idx="53">
                  <c:v>7.1169141649999998</c:v>
                </c:pt>
                <c:pt idx="54">
                  <c:v>6.6169472909999998</c:v>
                </c:pt>
                <c:pt idx="55">
                  <c:v>6.515400036</c:v>
                </c:pt>
                <c:pt idx="56">
                  <c:v>6.5560964979999996</c:v>
                </c:pt>
                <c:pt idx="57">
                  <c:v>6.3479171179999998</c:v>
                </c:pt>
                <c:pt idx="58">
                  <c:v>5.9285701470000003</c:v>
                </c:pt>
                <c:pt idx="59">
                  <c:v>5.4419101919999999</c:v>
                </c:pt>
                <c:pt idx="60">
                  <c:v>5.4790878230000004</c:v>
                </c:pt>
                <c:pt idx="61">
                  <c:v>5.1896102070000003</c:v>
                </c:pt>
                <c:pt idx="62">
                  <c:v>4.4422697170000003</c:v>
                </c:pt>
                <c:pt idx="63">
                  <c:v>4.4464190820000002</c:v>
                </c:pt>
                <c:pt idx="64">
                  <c:v>3.9620255360000001</c:v>
                </c:pt>
                <c:pt idx="65">
                  <c:v>3.1984205330000002</c:v>
                </c:pt>
                <c:pt idx="66">
                  <c:v>3.3147084819999999</c:v>
                </c:pt>
                <c:pt idx="67">
                  <c:v>3.3475917530000001</c:v>
                </c:pt>
                <c:pt idx="68">
                  <c:v>3.369589307</c:v>
                </c:pt>
                <c:pt idx="69">
                  <c:v>2.933589043</c:v>
                </c:pt>
                <c:pt idx="70">
                  <c:v>2.636659216</c:v>
                </c:pt>
                <c:pt idx="71">
                  <c:v>2.5965795790000001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9-4D0B-9E94-F60BCEEA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17232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'202312'!$A$24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'202312'!$E$24:$E$28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E9-4D0B-9E94-F60BCEEAAB28}"/>
            </c:ext>
          </c:extLst>
        </c:ser>
        <c:ser>
          <c:idx val="1"/>
          <c:order val="1"/>
          <c:tx>
            <c:strRef>
              <c:f>'202312'!$A$29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'202312'!$E$29:$E$35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'202312'!$H$29:$H$35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E9-4D0B-9E94-F60BCEEAAB28}"/>
            </c:ext>
          </c:extLst>
        </c:ser>
        <c:ser>
          <c:idx val="2"/>
          <c:order val="2"/>
          <c:tx>
            <c:strRef>
              <c:f>'202312'!$A$36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'202312'!$E$36:$E$46</c:f>
              <c:numCache>
                <c:formatCode>General</c:formatCode>
                <c:ptCount val="11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</c:numCache>
            </c:numRef>
          </c:xVal>
          <c:yVal>
            <c:numRef>
              <c:f>'202312'!$H$36:$H$46</c:f>
              <c:numCache>
                <c:formatCode>General</c:formatCode>
                <c:ptCount val="11"/>
                <c:pt idx="0">
                  <c:v>1.5253491168</c:v>
                </c:pt>
                <c:pt idx="1">
                  <c:v>1.5058576435</c:v>
                </c:pt>
                <c:pt idx="2">
                  <c:v>1.4863661703</c:v>
                </c:pt>
                <c:pt idx="3">
                  <c:v>1.4668746969999999</c:v>
                </c:pt>
                <c:pt idx="4">
                  <c:v>1.4473832236999999</c:v>
                </c:pt>
                <c:pt idx="5">
                  <c:v>1.4278917504999999</c:v>
                </c:pt>
                <c:pt idx="6">
                  <c:v>1.4084002771999999</c:v>
                </c:pt>
                <c:pt idx="7">
                  <c:v>1.3889088038999999</c:v>
                </c:pt>
                <c:pt idx="8">
                  <c:v>1.3694173305999999</c:v>
                </c:pt>
                <c:pt idx="9">
                  <c:v>1.3499258573999999</c:v>
                </c:pt>
                <c:pt idx="10">
                  <c:v>1.3304343840999999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E9-4D0B-9E94-F60BCEEAAB28}"/>
            </c:ext>
          </c:extLst>
        </c:ser>
        <c:ser>
          <c:idx val="3"/>
          <c:order val="3"/>
          <c:tx>
            <c:strRef>
              <c:f>'202312'!$A$47</c:f>
              <c:strCache>
                <c:ptCount val="1"/>
                <c:pt idx="0">
                  <c:v>2019-12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'202312'!$E$47:$E$52</c:f>
              <c:numCache>
                <c:formatCode>General</c:formatCode>
                <c:ptCount val="6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</c:numCache>
            </c:numRef>
          </c:xVal>
          <c:yVal>
            <c:numRef>
              <c:f>'202312'!$H$47:$H$52</c:f>
              <c:numCache>
                <c:formatCode>General</c:formatCode>
                <c:ptCount val="6"/>
                <c:pt idx="0">
                  <c:v>1.8483446670999999</c:v>
                </c:pt>
                <c:pt idx="1">
                  <c:v>1.5680777449000001</c:v>
                </c:pt>
                <c:pt idx="2">
                  <c:v>1.2878108226</c:v>
                </c:pt>
                <c:pt idx="3">
                  <c:v>1.0075439004</c:v>
                </c:pt>
                <c:pt idx="4">
                  <c:v>0.72727697810000003</c:v>
                </c:pt>
                <c:pt idx="5">
                  <c:v>0.44701005589999998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E9-4D0B-9E94-F60BCEEAAB28}"/>
            </c:ext>
          </c:extLst>
        </c:ser>
        <c:ser>
          <c:idx val="4"/>
          <c:order val="4"/>
          <c:tx>
            <c:strRef>
              <c:f>'202312'!$A$53</c:f>
              <c:strCache>
                <c:ptCount val="1"/>
                <c:pt idx="0">
                  <c:v>2020-06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'202312'!$E$53:$E$57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</c:numCache>
            </c:numRef>
          </c:xVal>
          <c:yVal>
            <c:numRef>
              <c:f>'202312'!$H$53:$H$57</c:f>
              <c:numCache>
                <c:formatCode>General</c:formatCode>
                <c:ptCount val="5"/>
                <c:pt idx="0">
                  <c:v>0.79284869540000003</c:v>
                </c:pt>
                <c:pt idx="1">
                  <c:v>0.91014849990000002</c:v>
                </c:pt>
                <c:pt idx="2">
                  <c:v>1.0274483044</c:v>
                </c:pt>
                <c:pt idx="3">
                  <c:v>1.1447481089</c:v>
                </c:pt>
                <c:pt idx="4">
                  <c:v>1.2620479134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E9-4D0B-9E94-F60BCEEAAB28}"/>
            </c:ext>
          </c:extLst>
        </c:ser>
        <c:ser>
          <c:idx val="5"/>
          <c:order val="5"/>
          <c:tx>
            <c:strRef>
              <c:f>'202312'!$A$58</c:f>
              <c:strCache>
                <c:ptCount val="1"/>
                <c:pt idx="0">
                  <c:v>2020-11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'202312'!$E$58:$E$62</c:f>
              <c:numCache>
                <c:formatCode>General</c:formatCode>
                <c:ptCount val="5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</c:numCache>
            </c:numRef>
          </c:xVal>
          <c:yVal>
            <c:numRef>
              <c:f>'202312'!$H$58:$H$62</c:f>
              <c:numCache>
                <c:formatCode>General</c:formatCode>
                <c:ptCount val="5"/>
                <c:pt idx="0">
                  <c:v>1.0193186811999999</c:v>
                </c:pt>
                <c:pt idx="1">
                  <c:v>1.3830189502000001</c:v>
                </c:pt>
                <c:pt idx="2">
                  <c:v>1.7467192192000001</c:v>
                </c:pt>
                <c:pt idx="3">
                  <c:v>2.1104194881999998</c:v>
                </c:pt>
                <c:pt idx="4">
                  <c:v>2.4741197572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E9-4D0B-9E94-F60BCEEAAB28}"/>
            </c:ext>
          </c:extLst>
        </c:ser>
        <c:ser>
          <c:idx val="6"/>
          <c:order val="6"/>
          <c:tx>
            <c:strRef>
              <c:f>'202312'!$A$63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'202312'!$E$63:$E$68</c:f>
              <c:numCache>
                <c:formatCode>General</c:formatCode>
                <c:ptCount val="6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</c:numCache>
            </c:numRef>
          </c:xVal>
          <c:yVal>
            <c:numRef>
              <c:f>'202312'!$H$63:$H$68</c:f>
              <c:numCache>
                <c:formatCode>General</c:formatCode>
                <c:ptCount val="6"/>
                <c:pt idx="0">
                  <c:v>3.8702564268000001</c:v>
                </c:pt>
                <c:pt idx="1">
                  <c:v>4.0712063672000003</c:v>
                </c:pt>
                <c:pt idx="2">
                  <c:v>4.2721563076000004</c:v>
                </c:pt>
                <c:pt idx="3">
                  <c:v>4.4731062479999997</c:v>
                </c:pt>
                <c:pt idx="4">
                  <c:v>4.6740561884999998</c:v>
                </c:pt>
                <c:pt idx="5">
                  <c:v>4.8750061289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E9-4D0B-9E94-F60BCEEAAB28}"/>
            </c:ext>
          </c:extLst>
        </c:ser>
        <c:ser>
          <c:idx val="7"/>
          <c:order val="7"/>
          <c:tx>
            <c:strRef>
              <c:f>'202312'!$A$69</c:f>
              <c:strCache>
                <c:ptCount val="1"/>
                <c:pt idx="0">
                  <c:v>2021-10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'202312'!$E$69:$E$74</c:f>
              <c:numCache>
                <c:formatCode>General</c:formatCode>
                <c:ptCount val="6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</c:numCache>
            </c:numRef>
          </c:xVal>
          <c:yVal>
            <c:numRef>
              <c:f>'202312'!$H$69:$H$74</c:f>
              <c:numCache>
                <c:formatCode>General</c:formatCode>
                <c:ptCount val="6"/>
                <c:pt idx="0">
                  <c:v>5.5590709274999996</c:v>
                </c:pt>
                <c:pt idx="1">
                  <c:v>5.8227856459999998</c:v>
                </c:pt>
                <c:pt idx="2">
                  <c:v>6.0865003644</c:v>
                </c:pt>
                <c:pt idx="3">
                  <c:v>6.3502150829000001</c:v>
                </c:pt>
                <c:pt idx="4">
                  <c:v>6.6139298014000003</c:v>
                </c:pt>
                <c:pt idx="5">
                  <c:v>6.8776445197999996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8E9-4D0B-9E94-F60BCEEAAB28}"/>
            </c:ext>
          </c:extLst>
        </c:ser>
        <c:ser>
          <c:idx val="8"/>
          <c:order val="8"/>
          <c:tx>
            <c:strRef>
              <c:f>'202312'!$A$75</c:f>
              <c:strCache>
                <c:ptCount val="1"/>
                <c:pt idx="0">
                  <c:v>2022-04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'202312'!$E$75:$E$95</c:f>
              <c:numCache>
                <c:formatCode>General</c:formatCode>
                <c:ptCount val="21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</c:numCache>
            </c:numRef>
          </c:xVal>
          <c:yVal>
            <c:numRef>
              <c:f>'202312'!$H$75:$H$95</c:f>
              <c:numCache>
                <c:formatCode>General</c:formatCode>
                <c:ptCount val="21"/>
                <c:pt idx="0">
                  <c:v>7.3558350059000004</c:v>
                </c:pt>
                <c:pt idx="1">
                  <c:v>7.1095374703000003</c:v>
                </c:pt>
                <c:pt idx="2">
                  <c:v>6.8632399348000002</c:v>
                </c:pt>
                <c:pt idx="3">
                  <c:v>6.6169423992</c:v>
                </c:pt>
                <c:pt idx="4">
                  <c:v>6.3706448636999999</c:v>
                </c:pt>
                <c:pt idx="5">
                  <c:v>6.1243473280999998</c:v>
                </c:pt>
                <c:pt idx="6">
                  <c:v>5.8780497925999997</c:v>
                </c:pt>
                <c:pt idx="7">
                  <c:v>5.6317522569999996</c:v>
                </c:pt>
                <c:pt idx="8">
                  <c:v>5.3854547215000004</c:v>
                </c:pt>
                <c:pt idx="9">
                  <c:v>5.1391571859000003</c:v>
                </c:pt>
                <c:pt idx="10">
                  <c:v>4.8928596504000001</c:v>
                </c:pt>
                <c:pt idx="11">
                  <c:v>4.6465621148</c:v>
                </c:pt>
                <c:pt idx="12">
                  <c:v>4.4002645792999999</c:v>
                </c:pt>
                <c:pt idx="13">
                  <c:v>4.1539670436999998</c:v>
                </c:pt>
                <c:pt idx="14">
                  <c:v>3.9076695082000001</c:v>
                </c:pt>
                <c:pt idx="15">
                  <c:v>3.6613719726</c:v>
                </c:pt>
                <c:pt idx="16">
                  <c:v>3.4150744370999999</c:v>
                </c:pt>
                <c:pt idx="17">
                  <c:v>3.1687769014999998</c:v>
                </c:pt>
                <c:pt idx="18">
                  <c:v>2.9224793660000001</c:v>
                </c:pt>
                <c:pt idx="19">
                  <c:v>2.6761818304</c:v>
                </c:pt>
                <c:pt idx="20">
                  <c:v>2.4298842948999999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8E9-4D0B-9E94-F60BCEEA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17232"/>
        <c:axId val="1"/>
      </c:scatterChart>
      <c:catAx>
        <c:axId val="2830172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172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14260717410324E-2"/>
          <c:y val="4.6005855290673359E-2"/>
          <c:w val="0.71340507436570422"/>
          <c:h val="0.77696249386643479"/>
        </c:manualLayout>
      </c:layout>
      <c:lineChart>
        <c:grouping val="standard"/>
        <c:varyColors val="0"/>
        <c:ser>
          <c:idx val="9"/>
          <c:order val="9"/>
          <c:tx>
            <c:v>美國PCE年增率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'[1]202311'!$A$24:$A$94</c:f>
              <c:numCache>
                <c:formatCode>General</c:formatCode>
                <c:ptCount val="7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</c:numCache>
            </c:numRef>
          </c:cat>
          <c:val>
            <c:numRef>
              <c:f>'[1]202311'!$E$24:$E$94</c:f>
              <c:numCache>
                <c:formatCode>General</c:formatCode>
                <c:ptCount val="71"/>
                <c:pt idx="0">
                  <c:v>1.7576494957315711</c:v>
                </c:pt>
                <c:pt idx="1">
                  <c:v>1.8376076958608623</c:v>
                </c:pt>
                <c:pt idx="2">
                  <c:v>1.9982920580700301</c:v>
                </c:pt>
                <c:pt idx="3">
                  <c:v>2.0466282276259826</c:v>
                </c:pt>
                <c:pt idx="4">
                  <c:v>2.2662065367869828</c:v>
                </c:pt>
                <c:pt idx="5">
                  <c:v>2.2683078403464014</c:v>
                </c:pt>
                <c:pt idx="6">
                  <c:v>2.3386070559001264</c:v>
                </c:pt>
                <c:pt idx="7">
                  <c:v>2.1804112889519804</c:v>
                </c:pt>
                <c:pt idx="8">
                  <c:v>2.0099601593625502</c:v>
                </c:pt>
                <c:pt idx="9">
                  <c:v>2.0530980493579025</c:v>
                </c:pt>
                <c:pt idx="10">
                  <c:v>1.9418922274646122</c:v>
                </c:pt>
                <c:pt idx="11">
                  <c:v>1.8646908878110666</c:v>
                </c:pt>
                <c:pt idx="12">
                  <c:v>1.4970503661103376</c:v>
                </c:pt>
                <c:pt idx="13">
                  <c:v>1.4258105229943974</c:v>
                </c:pt>
                <c:pt idx="14">
                  <c:v>1.5090027973681066</c:v>
                </c:pt>
                <c:pt idx="15">
                  <c:v>1.5771475738458716</c:v>
                </c:pt>
                <c:pt idx="16">
                  <c:v>1.4567249683640531</c:v>
                </c:pt>
                <c:pt idx="17">
                  <c:v>1.4113634358858733</c:v>
                </c:pt>
                <c:pt idx="18">
                  <c:v>1.4402224463221003</c:v>
                </c:pt>
                <c:pt idx="19">
                  <c:v>1.4216108328115244</c:v>
                </c:pt>
                <c:pt idx="20">
                  <c:v>1.3044582007069054</c:v>
                </c:pt>
                <c:pt idx="21">
                  <c:v>1.3314489010185679</c:v>
                </c:pt>
                <c:pt idx="22">
                  <c:v>1.3319692097827189</c:v>
                </c:pt>
                <c:pt idx="23">
                  <c:v>1.5394202588095571</c:v>
                </c:pt>
                <c:pt idx="24">
                  <c:v>1.6979184921237609</c:v>
                </c:pt>
                <c:pt idx="25">
                  <c:v>1.6420057941708379</c:v>
                </c:pt>
                <c:pt idx="26">
                  <c:v>1.1469492314857963</c:v>
                </c:pt>
                <c:pt idx="27">
                  <c:v>0.41114045525341864</c:v>
                </c:pt>
                <c:pt idx="28">
                  <c:v>0.44862993831338216</c:v>
                </c:pt>
                <c:pt idx="29">
                  <c:v>0.70552532642627652</c:v>
                </c:pt>
                <c:pt idx="30">
                  <c:v>0.90050961315727807</c:v>
                </c:pt>
                <c:pt idx="31">
                  <c:v>1.1653370119910076</c:v>
                </c:pt>
                <c:pt idx="32">
                  <c:v>1.2471808315823938</c:v>
                </c:pt>
                <c:pt idx="33">
                  <c:v>1.11868873904637</c:v>
                </c:pt>
                <c:pt idx="34">
                  <c:v>1.1538794388299689</c:v>
                </c:pt>
                <c:pt idx="35">
                  <c:v>1.3664870255652914</c:v>
                </c:pt>
                <c:pt idx="36">
                  <c:v>1.6150031591644467</c:v>
                </c:pt>
                <c:pt idx="37">
                  <c:v>1.8852043500301323</c:v>
                </c:pt>
                <c:pt idx="38">
                  <c:v>2.7130221224505489</c:v>
                </c:pt>
                <c:pt idx="39">
                  <c:v>3.7246136652664839</c:v>
                </c:pt>
                <c:pt idx="40">
                  <c:v>4.1553566272018418</c:v>
                </c:pt>
                <c:pt idx="41">
                  <c:v>4.3724028061689628</c:v>
                </c:pt>
                <c:pt idx="42">
                  <c:v>4.5331496733339112</c:v>
                </c:pt>
                <c:pt idx="43">
                  <c:v>4.6448426131649914</c:v>
                </c:pt>
                <c:pt idx="44">
                  <c:v>4.8054222831467532</c:v>
                </c:pt>
                <c:pt idx="45">
                  <c:v>5.4069479852364948</c:v>
                </c:pt>
                <c:pt idx="46">
                  <c:v>5.9859121457836224</c:v>
                </c:pt>
                <c:pt idx="47">
                  <c:v>6.1802908038256712</c:v>
                </c:pt>
                <c:pt idx="48">
                  <c:v>6.2970464930048493</c:v>
                </c:pt>
                <c:pt idx="49">
                  <c:v>6.5470043746831541</c:v>
                </c:pt>
                <c:pt idx="50">
                  <c:v>6.8929445388825537</c:v>
                </c:pt>
                <c:pt idx="51">
                  <c:v>6.619791569913243</c:v>
                </c:pt>
                <c:pt idx="52">
                  <c:v>6.6899553633313973</c:v>
                </c:pt>
                <c:pt idx="53">
                  <c:v>7.1169141648659915</c:v>
                </c:pt>
                <c:pt idx="54">
                  <c:v>6.616947291361635</c:v>
                </c:pt>
                <c:pt idx="55">
                  <c:v>6.5154000364497957</c:v>
                </c:pt>
                <c:pt idx="56">
                  <c:v>6.5560964976020832</c:v>
                </c:pt>
                <c:pt idx="57">
                  <c:v>6.3479171178976168</c:v>
                </c:pt>
                <c:pt idx="58">
                  <c:v>5.9285701472724988</c:v>
                </c:pt>
                <c:pt idx="59">
                  <c:v>5.441910192444765</c:v>
                </c:pt>
                <c:pt idx="60">
                  <c:v>5.4790878231660329</c:v>
                </c:pt>
                <c:pt idx="61">
                  <c:v>5.1896102065271021</c:v>
                </c:pt>
                <c:pt idx="62">
                  <c:v>4.4422697167222998</c:v>
                </c:pt>
                <c:pt idx="63">
                  <c:v>4.4464190819677833</c:v>
                </c:pt>
                <c:pt idx="64">
                  <c:v>3.9620255357483138</c:v>
                </c:pt>
                <c:pt idx="65">
                  <c:v>3.1984205330700881</c:v>
                </c:pt>
                <c:pt idx="66">
                  <c:v>3.3147084824608912</c:v>
                </c:pt>
                <c:pt idx="67">
                  <c:v>3.3475917529301022</c:v>
                </c:pt>
                <c:pt idx="68">
                  <c:v>3.369589307329051</c:v>
                </c:pt>
                <c:pt idx="69">
                  <c:v>2.9420749817552307</c:v>
                </c:pt>
                <c:pt idx="70">
                  <c:v>2.6400460610986887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2E-4E78-96FD-468744191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5632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'[1]202310'!$A$24</c:f>
              <c:strCache>
                <c:ptCount val="1"/>
                <c:pt idx="0">
                  <c:v>43101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'[1]202310'!$E$24:$E$28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'[1]202310'!$H$24:$H$28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2E-4E78-96FD-468744191302}"/>
            </c:ext>
          </c:extLst>
        </c:ser>
        <c:ser>
          <c:idx val="1"/>
          <c:order val="1"/>
          <c:tx>
            <c:strRef>
              <c:f>'[1]202310'!$A$29</c:f>
              <c:strCache>
                <c:ptCount val="1"/>
                <c:pt idx="0">
                  <c:v>43252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'[1]202310'!$E$29:$E$35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'[1]202310'!$H$29:$H$35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2E-4E78-96FD-468744191302}"/>
            </c:ext>
          </c:extLst>
        </c:ser>
        <c:ser>
          <c:idx val="2"/>
          <c:order val="2"/>
          <c:tx>
            <c:strRef>
              <c:f>'[1]202310'!$A$36</c:f>
              <c:strCache>
                <c:ptCount val="1"/>
                <c:pt idx="0">
                  <c:v>43466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'[1]202310'!$E$36:$E$46</c:f>
              <c:numCache>
                <c:formatCode>General</c:formatCode>
                <c:ptCount val="11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</c:numCache>
            </c:numRef>
          </c:xVal>
          <c:yVal>
            <c:numRef>
              <c:f>'[1]202310'!$H$36:$H$46</c:f>
              <c:numCache>
                <c:formatCode>General</c:formatCode>
                <c:ptCount val="11"/>
                <c:pt idx="0">
                  <c:v>1.5253491168</c:v>
                </c:pt>
                <c:pt idx="1">
                  <c:v>1.5058576435</c:v>
                </c:pt>
                <c:pt idx="2">
                  <c:v>1.4863661703</c:v>
                </c:pt>
                <c:pt idx="3">
                  <c:v>1.4668746969999999</c:v>
                </c:pt>
                <c:pt idx="4">
                  <c:v>1.4473832236999999</c:v>
                </c:pt>
                <c:pt idx="5">
                  <c:v>1.4278917504999999</c:v>
                </c:pt>
                <c:pt idx="6">
                  <c:v>1.4084002771999999</c:v>
                </c:pt>
                <c:pt idx="7">
                  <c:v>1.3889088038999999</c:v>
                </c:pt>
                <c:pt idx="8">
                  <c:v>1.3694173305999999</c:v>
                </c:pt>
                <c:pt idx="9">
                  <c:v>1.3499258573999999</c:v>
                </c:pt>
                <c:pt idx="10">
                  <c:v>1.3304343840999999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2E-4E78-96FD-468744191302}"/>
            </c:ext>
          </c:extLst>
        </c:ser>
        <c:ser>
          <c:idx val="3"/>
          <c:order val="3"/>
          <c:tx>
            <c:strRef>
              <c:f>'[1]202310'!$A$47</c:f>
              <c:strCache>
                <c:ptCount val="1"/>
                <c:pt idx="0">
                  <c:v>43800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'[1]202310'!$E$47:$E$52</c:f>
              <c:numCache>
                <c:formatCode>General</c:formatCode>
                <c:ptCount val="6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</c:numCache>
            </c:numRef>
          </c:xVal>
          <c:yVal>
            <c:numRef>
              <c:f>'[1]202310'!$H$47:$H$52</c:f>
              <c:numCache>
                <c:formatCode>General</c:formatCode>
                <c:ptCount val="6"/>
                <c:pt idx="0">
                  <c:v>1.8483446670999999</c:v>
                </c:pt>
                <c:pt idx="1">
                  <c:v>1.5680777449000001</c:v>
                </c:pt>
                <c:pt idx="2">
                  <c:v>1.2878108226</c:v>
                </c:pt>
                <c:pt idx="3">
                  <c:v>1.0075439004</c:v>
                </c:pt>
                <c:pt idx="4">
                  <c:v>0.72727697810000003</c:v>
                </c:pt>
                <c:pt idx="5">
                  <c:v>0.44701005589999998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2E-4E78-96FD-468744191302}"/>
            </c:ext>
          </c:extLst>
        </c:ser>
        <c:ser>
          <c:idx val="4"/>
          <c:order val="4"/>
          <c:tx>
            <c:strRef>
              <c:f>'[1]202310'!$A$53</c:f>
              <c:strCache>
                <c:ptCount val="1"/>
                <c:pt idx="0">
                  <c:v>43983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'[1]202310'!$E$53:$E$57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</c:numCache>
            </c:numRef>
          </c:xVal>
          <c:yVal>
            <c:numRef>
              <c:f>'[1]202310'!$H$53:$H$57</c:f>
              <c:numCache>
                <c:formatCode>General</c:formatCode>
                <c:ptCount val="5"/>
                <c:pt idx="0">
                  <c:v>0.79284869540000003</c:v>
                </c:pt>
                <c:pt idx="1">
                  <c:v>0.91014849990000002</c:v>
                </c:pt>
                <c:pt idx="2">
                  <c:v>1.0274483044</c:v>
                </c:pt>
                <c:pt idx="3">
                  <c:v>1.1447481089</c:v>
                </c:pt>
                <c:pt idx="4">
                  <c:v>1.2620479134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2E-4E78-96FD-468744191302}"/>
            </c:ext>
          </c:extLst>
        </c:ser>
        <c:ser>
          <c:idx val="5"/>
          <c:order val="5"/>
          <c:tx>
            <c:strRef>
              <c:f>'[1]202310'!$A$58</c:f>
              <c:strCache>
                <c:ptCount val="1"/>
                <c:pt idx="0">
                  <c:v>44136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'[1]202310'!$E$58:$E$62</c:f>
              <c:numCache>
                <c:formatCode>General</c:formatCode>
                <c:ptCount val="5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</c:numCache>
            </c:numRef>
          </c:xVal>
          <c:yVal>
            <c:numRef>
              <c:f>'[1]202310'!$H$58:$H$62</c:f>
              <c:numCache>
                <c:formatCode>General</c:formatCode>
                <c:ptCount val="5"/>
                <c:pt idx="0">
                  <c:v>1.0193186811999999</c:v>
                </c:pt>
                <c:pt idx="1">
                  <c:v>1.3830189502000001</c:v>
                </c:pt>
                <c:pt idx="2">
                  <c:v>1.7467192192000001</c:v>
                </c:pt>
                <c:pt idx="3">
                  <c:v>2.1104194881999998</c:v>
                </c:pt>
                <c:pt idx="4">
                  <c:v>2.4741197572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92E-4E78-96FD-468744191302}"/>
            </c:ext>
          </c:extLst>
        </c:ser>
        <c:ser>
          <c:idx val="6"/>
          <c:order val="6"/>
          <c:tx>
            <c:strRef>
              <c:f>'[1]202310'!$A$63</c:f>
              <c:strCache>
                <c:ptCount val="1"/>
                <c:pt idx="0">
                  <c:v>44287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'[1]202310'!$E$63:$E$68</c:f>
              <c:numCache>
                <c:formatCode>General</c:formatCode>
                <c:ptCount val="6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</c:numCache>
            </c:numRef>
          </c:xVal>
          <c:yVal>
            <c:numRef>
              <c:f>'[1]202310'!$H$63:$H$68</c:f>
              <c:numCache>
                <c:formatCode>General</c:formatCode>
                <c:ptCount val="6"/>
                <c:pt idx="0">
                  <c:v>3.8702564268000001</c:v>
                </c:pt>
                <c:pt idx="1">
                  <c:v>4.0712063672000003</c:v>
                </c:pt>
                <c:pt idx="2">
                  <c:v>4.2721563076000004</c:v>
                </c:pt>
                <c:pt idx="3">
                  <c:v>4.4731062479999997</c:v>
                </c:pt>
                <c:pt idx="4">
                  <c:v>4.6740561884999998</c:v>
                </c:pt>
                <c:pt idx="5">
                  <c:v>4.8750061289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92E-4E78-96FD-468744191302}"/>
            </c:ext>
          </c:extLst>
        </c:ser>
        <c:ser>
          <c:idx val="7"/>
          <c:order val="7"/>
          <c:tx>
            <c:strRef>
              <c:f>'[1]202310'!$A$69</c:f>
              <c:strCache>
                <c:ptCount val="1"/>
                <c:pt idx="0">
                  <c:v>44470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'[1]202310'!$E$69:$E$74</c:f>
              <c:numCache>
                <c:formatCode>General</c:formatCode>
                <c:ptCount val="6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</c:numCache>
            </c:numRef>
          </c:xVal>
          <c:yVal>
            <c:numRef>
              <c:f>'[1]202310'!$H$69:$H$74</c:f>
              <c:numCache>
                <c:formatCode>General</c:formatCode>
                <c:ptCount val="6"/>
                <c:pt idx="0">
                  <c:v>5.5590709274999996</c:v>
                </c:pt>
                <c:pt idx="1">
                  <c:v>5.8227856459999998</c:v>
                </c:pt>
                <c:pt idx="2">
                  <c:v>6.0865003644</c:v>
                </c:pt>
                <c:pt idx="3">
                  <c:v>6.3502150829000001</c:v>
                </c:pt>
                <c:pt idx="4">
                  <c:v>6.6139298014000003</c:v>
                </c:pt>
                <c:pt idx="5">
                  <c:v>6.8776445197999996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92E-4E78-96FD-468744191302}"/>
            </c:ext>
          </c:extLst>
        </c:ser>
        <c:ser>
          <c:idx val="8"/>
          <c:order val="8"/>
          <c:tx>
            <c:strRef>
              <c:f>'[1]202311'!$A$75</c:f>
              <c:strCache>
                <c:ptCount val="1"/>
                <c:pt idx="0">
                  <c:v>44652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'[1]202311'!$F$75:$F$94</c:f>
              <c:numCache>
                <c:formatCode>General</c:formatCode>
                <c:ptCount val="20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</c:numCache>
            </c:numRef>
          </c:xVal>
          <c:yVal>
            <c:numRef>
              <c:f>'[1]202311'!$I$75:$I$94</c:f>
              <c:numCache>
                <c:formatCode>General</c:formatCode>
                <c:ptCount val="20"/>
                <c:pt idx="0">
                  <c:v>7.3716080948</c:v>
                </c:pt>
                <c:pt idx="1">
                  <c:v>7.1228353787999996</c:v>
                </c:pt>
                <c:pt idx="2">
                  <c:v>6.8740626629000001</c:v>
                </c:pt>
                <c:pt idx="3">
                  <c:v>6.6252899468999997</c:v>
                </c:pt>
                <c:pt idx="4">
                  <c:v>6.3765172309000002</c:v>
                </c:pt>
                <c:pt idx="5">
                  <c:v>6.1277445149999998</c:v>
                </c:pt>
                <c:pt idx="6">
                  <c:v>5.8789717990000003</c:v>
                </c:pt>
                <c:pt idx="7">
                  <c:v>5.6301990830999999</c:v>
                </c:pt>
                <c:pt idx="8">
                  <c:v>5.3814263671000004</c:v>
                </c:pt>
                <c:pt idx="9">
                  <c:v>5.1326536511</c:v>
                </c:pt>
                <c:pt idx="10">
                  <c:v>4.8838809351999997</c:v>
                </c:pt>
                <c:pt idx="11">
                  <c:v>4.6351082192000002</c:v>
                </c:pt>
                <c:pt idx="12">
                  <c:v>4.3863355031999998</c:v>
                </c:pt>
                <c:pt idx="13">
                  <c:v>4.1375627873000003</c:v>
                </c:pt>
                <c:pt idx="14">
                  <c:v>3.8887900712999999</c:v>
                </c:pt>
                <c:pt idx="15">
                  <c:v>3.6400173553999999</c:v>
                </c:pt>
                <c:pt idx="16">
                  <c:v>3.3912446394</c:v>
                </c:pt>
                <c:pt idx="17">
                  <c:v>3.1424719234</c:v>
                </c:pt>
                <c:pt idx="18">
                  <c:v>2.8936992075000001</c:v>
                </c:pt>
                <c:pt idx="19">
                  <c:v>2.6449264915000001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92E-4E78-96FD-468744191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5632"/>
        <c:axId val="1"/>
      </c:scatterChart>
      <c:catAx>
        <c:axId val="28302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56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287489063867021"/>
          <c:y val="0.14743962595127869"/>
          <c:w val="0.21045844269466318"/>
          <c:h val="0.6549328004853665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4.6354825115887066E-2"/>
          <c:w val="0.68251618547681536"/>
          <c:h val="0.77527067966061769"/>
        </c:manualLayout>
      </c:layout>
      <c:lineChart>
        <c:grouping val="standard"/>
        <c:varyColors val="0"/>
        <c:ser>
          <c:idx val="9"/>
          <c:order val="9"/>
          <c:tx>
            <c:v>美國PCE物價指數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'[1]202311'!$Y$24:$Y$94</c:f>
              <c:numCache>
                <c:formatCode>General</c:formatCode>
                <c:ptCount val="7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</c:numCache>
            </c:numRef>
          </c:cat>
          <c:val>
            <c:numRef>
              <c:f>'[1]202311'!$AB$24:$AB$94</c:f>
              <c:numCache>
                <c:formatCode>General</c:formatCode>
                <c:ptCount val="71"/>
                <c:pt idx="0">
                  <c:v>101.199</c:v>
                </c:pt>
                <c:pt idx="1">
                  <c:v>101.416</c:v>
                </c:pt>
                <c:pt idx="2">
                  <c:v>101.524</c:v>
                </c:pt>
                <c:pt idx="3">
                  <c:v>101.76600000000001</c:v>
                </c:pt>
                <c:pt idx="4">
                  <c:v>101.941</c:v>
                </c:pt>
                <c:pt idx="5">
                  <c:v>102.029</c:v>
                </c:pt>
                <c:pt idx="6">
                  <c:v>102.137</c:v>
                </c:pt>
                <c:pt idx="7">
                  <c:v>102.208</c:v>
                </c:pt>
                <c:pt idx="8">
                  <c:v>102.41800000000001</c:v>
                </c:pt>
                <c:pt idx="9">
                  <c:v>102.595</c:v>
                </c:pt>
                <c:pt idx="10">
                  <c:v>102.63</c:v>
                </c:pt>
                <c:pt idx="11">
                  <c:v>102.70099999999999</c:v>
                </c:pt>
                <c:pt idx="12">
                  <c:v>102.714</c:v>
                </c:pt>
                <c:pt idx="13">
                  <c:v>102.86199999999999</c:v>
                </c:pt>
                <c:pt idx="14">
                  <c:v>103.056</c:v>
                </c:pt>
                <c:pt idx="15">
                  <c:v>103.371</c:v>
                </c:pt>
                <c:pt idx="16">
                  <c:v>103.426</c:v>
                </c:pt>
                <c:pt idx="17">
                  <c:v>103.46899999999999</c:v>
                </c:pt>
                <c:pt idx="18">
                  <c:v>103.608</c:v>
                </c:pt>
                <c:pt idx="19">
                  <c:v>103.661</c:v>
                </c:pt>
                <c:pt idx="20">
                  <c:v>103.754</c:v>
                </c:pt>
                <c:pt idx="21">
                  <c:v>103.961</c:v>
                </c:pt>
                <c:pt idx="22">
                  <c:v>103.997</c:v>
                </c:pt>
                <c:pt idx="23">
                  <c:v>104.282</c:v>
                </c:pt>
                <c:pt idx="24">
                  <c:v>104.458</c:v>
                </c:pt>
                <c:pt idx="25">
                  <c:v>104.551</c:v>
                </c:pt>
                <c:pt idx="26">
                  <c:v>104.238</c:v>
                </c:pt>
                <c:pt idx="27">
                  <c:v>103.79600000000001</c:v>
                </c:pt>
                <c:pt idx="28">
                  <c:v>103.89</c:v>
                </c:pt>
                <c:pt idx="29">
                  <c:v>104.199</c:v>
                </c:pt>
                <c:pt idx="30">
                  <c:v>104.541</c:v>
                </c:pt>
                <c:pt idx="31">
                  <c:v>104.869</c:v>
                </c:pt>
                <c:pt idx="32">
                  <c:v>105.048</c:v>
                </c:pt>
                <c:pt idx="33">
                  <c:v>105.124</c:v>
                </c:pt>
                <c:pt idx="34">
                  <c:v>105.197</c:v>
                </c:pt>
                <c:pt idx="35">
                  <c:v>105.70699999999999</c:v>
                </c:pt>
                <c:pt idx="36">
                  <c:v>106.145</c:v>
                </c:pt>
                <c:pt idx="37">
                  <c:v>106.52200000000001</c:v>
                </c:pt>
                <c:pt idx="38">
                  <c:v>107.066</c:v>
                </c:pt>
                <c:pt idx="39">
                  <c:v>107.66200000000001</c:v>
                </c:pt>
                <c:pt idx="40">
                  <c:v>108.20699999999999</c:v>
                </c:pt>
                <c:pt idx="41">
                  <c:v>108.755</c:v>
                </c:pt>
                <c:pt idx="42">
                  <c:v>109.28</c:v>
                </c:pt>
                <c:pt idx="43">
                  <c:v>109.74</c:v>
                </c:pt>
                <c:pt idx="44">
                  <c:v>110.096</c:v>
                </c:pt>
                <c:pt idx="45">
                  <c:v>110.80800000000001</c:v>
                </c:pt>
                <c:pt idx="46">
                  <c:v>111.494</c:v>
                </c:pt>
                <c:pt idx="47">
                  <c:v>112.24</c:v>
                </c:pt>
                <c:pt idx="48">
                  <c:v>112.82899999999999</c:v>
                </c:pt>
                <c:pt idx="49">
                  <c:v>113.496</c:v>
                </c:pt>
                <c:pt idx="50">
                  <c:v>114.446</c:v>
                </c:pt>
                <c:pt idx="51">
                  <c:v>114.789</c:v>
                </c:pt>
                <c:pt idx="52">
                  <c:v>115.446</c:v>
                </c:pt>
                <c:pt idx="53">
                  <c:v>116.495</c:v>
                </c:pt>
                <c:pt idx="54">
                  <c:v>116.511</c:v>
                </c:pt>
                <c:pt idx="55">
                  <c:v>116.89</c:v>
                </c:pt>
                <c:pt idx="56">
                  <c:v>117.31399999999999</c:v>
                </c:pt>
                <c:pt idx="57">
                  <c:v>117.842</c:v>
                </c:pt>
                <c:pt idx="58">
                  <c:v>118.104</c:v>
                </c:pt>
                <c:pt idx="59">
                  <c:v>118.348</c:v>
                </c:pt>
                <c:pt idx="60">
                  <c:v>119.011</c:v>
                </c:pt>
                <c:pt idx="61">
                  <c:v>119.386</c:v>
                </c:pt>
                <c:pt idx="62">
                  <c:v>119.53</c:v>
                </c:pt>
                <c:pt idx="63">
                  <c:v>119.893</c:v>
                </c:pt>
                <c:pt idx="64">
                  <c:v>120.02</c:v>
                </c:pt>
                <c:pt idx="65">
                  <c:v>120.221</c:v>
                </c:pt>
                <c:pt idx="66">
                  <c:v>120.373</c:v>
                </c:pt>
                <c:pt idx="67">
                  <c:v>120.803</c:v>
                </c:pt>
                <c:pt idx="68">
                  <c:v>121.267</c:v>
                </c:pt>
                <c:pt idx="69">
                  <c:v>121.309</c:v>
                </c:pt>
                <c:pt idx="70">
                  <c:v>121.22199999999999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5-4B44-B1A0-A8D931697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2832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'[1]202311'!$Y$24</c:f>
              <c:strCache>
                <c:ptCount val="1"/>
                <c:pt idx="0">
                  <c:v>43101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'[1]202311'!$Z$24:$Z$29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'[1]202311'!$AC$24:$AC$29</c:f>
              <c:numCache>
                <c:formatCode>General</c:formatCode>
                <c:ptCount val="6"/>
                <c:pt idx="0">
                  <c:v>101.21961904760001</c:v>
                </c:pt>
                <c:pt idx="1">
                  <c:v>101.39010476190001</c:v>
                </c:pt>
                <c:pt idx="2">
                  <c:v>101.56059047620001</c:v>
                </c:pt>
                <c:pt idx="3">
                  <c:v>101.7310761905</c:v>
                </c:pt>
                <c:pt idx="4">
                  <c:v>101.9015619048</c:v>
                </c:pt>
                <c:pt idx="5">
                  <c:v>102.072047619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95-4B44-B1A0-A8D9316979CB}"/>
            </c:ext>
          </c:extLst>
        </c:ser>
        <c:ser>
          <c:idx val="1"/>
          <c:order val="1"/>
          <c:tx>
            <c:strRef>
              <c:f>'[1]202311'!$Y$30</c:f>
              <c:strCache>
                <c:ptCount val="1"/>
                <c:pt idx="0">
                  <c:v>43282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'[1]202311'!$Z$30:$Z$35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</c:numCache>
            </c:numRef>
          </c:xVal>
          <c:yVal>
            <c:numRef>
              <c:f>'[1]202311'!$AC$30:$AC$35</c:f>
              <c:numCache>
                <c:formatCode>General</c:formatCode>
                <c:ptCount val="6"/>
                <c:pt idx="0">
                  <c:v>102.1436666667</c:v>
                </c:pt>
                <c:pt idx="1">
                  <c:v>102.26546666669999</c:v>
                </c:pt>
                <c:pt idx="2">
                  <c:v>102.3872666667</c:v>
                </c:pt>
                <c:pt idx="3">
                  <c:v>102.50906666669999</c:v>
                </c:pt>
                <c:pt idx="4">
                  <c:v>102.6308666667</c:v>
                </c:pt>
                <c:pt idx="5">
                  <c:v>102.75266666669999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95-4B44-B1A0-A8D9316979CB}"/>
            </c:ext>
          </c:extLst>
        </c:ser>
        <c:ser>
          <c:idx val="2"/>
          <c:order val="2"/>
          <c:tx>
            <c:strRef>
              <c:f>'[1]202311'!$Y$36</c:f>
              <c:strCache>
                <c:ptCount val="1"/>
                <c:pt idx="0">
                  <c:v>43466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'[1]202311'!$Z$36:$Z$42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numCache>
            </c:numRef>
          </c:xVal>
          <c:yVal>
            <c:numRef>
              <c:f>'[1]202311'!$AC$36:$AC$42</c:f>
              <c:numCache>
                <c:formatCode>General</c:formatCode>
                <c:ptCount val="7"/>
                <c:pt idx="0">
                  <c:v>102.7580714286</c:v>
                </c:pt>
                <c:pt idx="1">
                  <c:v>102.9104285714</c:v>
                </c:pt>
                <c:pt idx="2">
                  <c:v>103.06278571430001</c:v>
                </c:pt>
                <c:pt idx="3">
                  <c:v>103.21514285710001</c:v>
                </c:pt>
                <c:pt idx="4">
                  <c:v>103.36750000000001</c:v>
                </c:pt>
                <c:pt idx="5">
                  <c:v>103.51985714289999</c:v>
                </c:pt>
                <c:pt idx="6">
                  <c:v>103.67221428569999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95-4B44-B1A0-A8D9316979CB}"/>
            </c:ext>
          </c:extLst>
        </c:ser>
        <c:ser>
          <c:idx val="3"/>
          <c:order val="3"/>
          <c:tx>
            <c:strRef>
              <c:f>'[1]202311'!$Y$43</c:f>
              <c:strCache>
                <c:ptCount val="1"/>
                <c:pt idx="0">
                  <c:v>43678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'[1]202311'!$Z$43:$Z$49</c:f>
              <c:numCache>
                <c:formatCode>General</c:formatCode>
                <c:ptCount val="7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</c:numCache>
            </c:numRef>
          </c:xVal>
          <c:yVal>
            <c:numRef>
              <c:f>'[1]202311'!$AC$43:$AC$49</c:f>
              <c:numCache>
                <c:formatCode>General</c:formatCode>
                <c:ptCount val="7"/>
                <c:pt idx="0">
                  <c:v>103.6235357143</c:v>
                </c:pt>
                <c:pt idx="1">
                  <c:v>103.78064285710001</c:v>
                </c:pt>
                <c:pt idx="2">
                  <c:v>103.93774999999999</c:v>
                </c:pt>
                <c:pt idx="3">
                  <c:v>104.0948571429</c:v>
                </c:pt>
                <c:pt idx="4">
                  <c:v>104.2519642857</c:v>
                </c:pt>
                <c:pt idx="5">
                  <c:v>104.4090714286</c:v>
                </c:pt>
                <c:pt idx="6">
                  <c:v>104.5661785714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95-4B44-B1A0-A8D9316979CB}"/>
            </c:ext>
          </c:extLst>
        </c:ser>
        <c:ser>
          <c:idx val="4"/>
          <c:order val="4"/>
          <c:tx>
            <c:strRef>
              <c:f>'[1]202311'!$Y$50</c:f>
              <c:strCache>
                <c:ptCount val="1"/>
                <c:pt idx="0">
                  <c:v>43891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'[1]202311'!$Z$50:$Z$62</c:f>
              <c:numCache>
                <c:formatCode>General</c:formatCode>
                <c:ptCount val="13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</c:numCache>
            </c:numRef>
          </c:xVal>
          <c:yVal>
            <c:numRef>
              <c:f>'[1]202311'!$AC$50:$AC$62</c:f>
              <c:numCache>
                <c:formatCode>General</c:formatCode>
                <c:ptCount val="13"/>
                <c:pt idx="0">
                  <c:v>103.5963406593</c:v>
                </c:pt>
                <c:pt idx="1">
                  <c:v>103.84748901099999</c:v>
                </c:pt>
                <c:pt idx="2">
                  <c:v>104.0986373626</c:v>
                </c:pt>
                <c:pt idx="3">
                  <c:v>104.3497857143</c:v>
                </c:pt>
                <c:pt idx="4">
                  <c:v>104.60093406590001</c:v>
                </c:pt>
                <c:pt idx="5">
                  <c:v>104.8520824176</c:v>
                </c:pt>
                <c:pt idx="6">
                  <c:v>105.1032307692</c:v>
                </c:pt>
                <c:pt idx="7">
                  <c:v>105.35437912090001</c:v>
                </c:pt>
                <c:pt idx="8">
                  <c:v>105.6055274725</c:v>
                </c:pt>
                <c:pt idx="9">
                  <c:v>105.8566758242</c:v>
                </c:pt>
                <c:pt idx="10">
                  <c:v>106.1078241758</c:v>
                </c:pt>
                <c:pt idx="11">
                  <c:v>106.3589725275</c:v>
                </c:pt>
                <c:pt idx="12">
                  <c:v>106.61012087909999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95-4B44-B1A0-A8D9316979CB}"/>
            </c:ext>
          </c:extLst>
        </c:ser>
        <c:ser>
          <c:idx val="5"/>
          <c:order val="5"/>
          <c:tx>
            <c:strRef>
              <c:f>'[1]202311'!$Y$63</c:f>
              <c:strCache>
                <c:ptCount val="1"/>
                <c:pt idx="0">
                  <c:v>44287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'[1]202311'!$Z$63:$Z$69</c:f>
              <c:numCache>
                <c:formatCode>General</c:formatCode>
                <c:ptCount val="7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</c:numCache>
            </c:numRef>
          </c:xVal>
          <c:yVal>
            <c:numRef>
              <c:f>'[1]202311'!$AC$63:$AC$69</c:f>
              <c:numCache>
                <c:formatCode>General</c:formatCode>
                <c:ptCount val="7"/>
                <c:pt idx="0">
                  <c:v>107.69960714290001</c:v>
                </c:pt>
                <c:pt idx="1">
                  <c:v>108.2067857143</c:v>
                </c:pt>
                <c:pt idx="2">
                  <c:v>108.7139642857</c:v>
                </c:pt>
                <c:pt idx="3">
                  <c:v>109.22114285710001</c:v>
                </c:pt>
                <c:pt idx="4">
                  <c:v>109.7283214286</c:v>
                </c:pt>
                <c:pt idx="5">
                  <c:v>110.2355</c:v>
                </c:pt>
                <c:pt idx="6">
                  <c:v>110.74267857140001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95-4B44-B1A0-A8D9316979CB}"/>
            </c:ext>
          </c:extLst>
        </c:ser>
        <c:ser>
          <c:idx val="6"/>
          <c:order val="6"/>
          <c:tx>
            <c:strRef>
              <c:f>'[1]202311'!$Y$70</c:f>
              <c:strCache>
                <c:ptCount val="1"/>
                <c:pt idx="0">
                  <c:v>44501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'[1]202311'!$Z$70:$Z$76</c:f>
              <c:numCache>
                <c:formatCode>General</c:formatCode>
                <c:ptCount val="7"/>
                <c:pt idx="0">
                  <c:v>47</c:v>
                </c:pt>
                <c:pt idx="1">
                  <c:v>48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</c:numCache>
            </c:numRef>
          </c:xVal>
          <c:yVal>
            <c:numRef>
              <c:f>'[1]202311'!$AC$70:$AC$76</c:f>
              <c:numCache>
                <c:formatCode>General</c:formatCode>
                <c:ptCount val="7"/>
                <c:pt idx="0">
                  <c:v>111.5445357143</c:v>
                </c:pt>
                <c:pt idx="1">
                  <c:v>112.2077857143</c:v>
                </c:pt>
                <c:pt idx="2">
                  <c:v>112.87103571430001</c:v>
                </c:pt>
                <c:pt idx="3">
                  <c:v>113.5342857143</c:v>
                </c:pt>
                <c:pt idx="4">
                  <c:v>114.1975357143</c:v>
                </c:pt>
                <c:pt idx="5">
                  <c:v>114.86078571429999</c:v>
                </c:pt>
                <c:pt idx="6">
                  <c:v>115.5240357143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95-4B44-B1A0-A8D9316979CB}"/>
            </c:ext>
          </c:extLst>
        </c:ser>
        <c:ser>
          <c:idx val="7"/>
          <c:order val="7"/>
          <c:tx>
            <c:strRef>
              <c:f>'[1]202311'!$Y$77</c:f>
              <c:strCache>
                <c:ptCount val="1"/>
                <c:pt idx="0">
                  <c:v>44713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'[1]202311'!$Z$77:$Z$87</c:f>
              <c:numCache>
                <c:formatCode>General</c:formatCode>
                <c:ptCount val="11"/>
                <c:pt idx="0">
                  <c:v>54</c:v>
                </c:pt>
                <c:pt idx="1">
                  <c:v>55</c:v>
                </c:pt>
                <c:pt idx="2">
                  <c:v>56</c:v>
                </c:pt>
                <c:pt idx="3">
                  <c:v>57</c:v>
                </c:pt>
                <c:pt idx="4">
                  <c:v>58</c:v>
                </c:pt>
                <c:pt idx="5">
                  <c:v>59</c:v>
                </c:pt>
                <c:pt idx="6">
                  <c:v>60</c:v>
                </c:pt>
                <c:pt idx="7">
                  <c:v>61</c:v>
                </c:pt>
                <c:pt idx="8">
                  <c:v>62</c:v>
                </c:pt>
                <c:pt idx="9">
                  <c:v>63</c:v>
                </c:pt>
                <c:pt idx="10">
                  <c:v>64</c:v>
                </c:pt>
              </c:numCache>
            </c:numRef>
          </c:xVal>
          <c:yVal>
            <c:numRef>
              <c:f>'[1]202311'!$AC$77:$AC$87</c:f>
              <c:numCache>
                <c:formatCode>General</c:formatCode>
                <c:ptCount val="11"/>
                <c:pt idx="0">
                  <c:v>116.28154545450001</c:v>
                </c:pt>
                <c:pt idx="1">
                  <c:v>116.6493090909</c:v>
                </c:pt>
                <c:pt idx="2">
                  <c:v>117.0170727273</c:v>
                </c:pt>
                <c:pt idx="3">
                  <c:v>117.3848363636</c:v>
                </c:pt>
                <c:pt idx="4">
                  <c:v>117.7526</c:v>
                </c:pt>
                <c:pt idx="5">
                  <c:v>118.1203636364</c:v>
                </c:pt>
                <c:pt idx="6">
                  <c:v>118.4881272727</c:v>
                </c:pt>
                <c:pt idx="7">
                  <c:v>118.8558909091</c:v>
                </c:pt>
                <c:pt idx="8">
                  <c:v>119.2236545455</c:v>
                </c:pt>
                <c:pt idx="9">
                  <c:v>119.59141818179999</c:v>
                </c:pt>
                <c:pt idx="10">
                  <c:v>119.95918181819999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395-4B44-B1A0-A8D9316979CB}"/>
            </c:ext>
          </c:extLst>
        </c:ser>
        <c:ser>
          <c:idx val="8"/>
          <c:order val="8"/>
          <c:tx>
            <c:strRef>
              <c:f>'[1]202311'!$Y$88</c:f>
              <c:strCache>
                <c:ptCount val="1"/>
                <c:pt idx="0">
                  <c:v>45047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'[1]202311'!$Z$88:$Z$94</c:f>
              <c:numCache>
                <c:formatCode>General</c:formatCode>
                <c:ptCount val="7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</c:numCache>
            </c:numRef>
          </c:xVal>
          <c:yVal>
            <c:numRef>
              <c:f>'[1]202311'!$AC$88:$AC$94</c:f>
              <c:numCache>
                <c:formatCode>General</c:formatCode>
                <c:ptCount val="7"/>
                <c:pt idx="0">
                  <c:v>120.0297142857</c:v>
                </c:pt>
                <c:pt idx="1">
                  <c:v>120.2681428571</c:v>
                </c:pt>
                <c:pt idx="2">
                  <c:v>120.5065714286</c:v>
                </c:pt>
                <c:pt idx="3">
                  <c:v>120.745</c:v>
                </c:pt>
                <c:pt idx="4">
                  <c:v>120.9834285714</c:v>
                </c:pt>
                <c:pt idx="5">
                  <c:v>121.22185714290001</c:v>
                </c:pt>
                <c:pt idx="6">
                  <c:v>121.4602857143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95-4B44-B1A0-A8D9316979CB}"/>
            </c:ext>
          </c:extLst>
        </c:ser>
        <c:ser>
          <c:idx val="10"/>
          <c:order val="10"/>
          <c:tx>
            <c:v>新冠肺炎前產生的自然增長趨勢</c:v>
          </c:tx>
          <c:spPr>
            <a:ln>
              <a:solidFill>
                <a:schemeClr val="accent4"/>
              </a:solidFill>
            </a:ln>
          </c:spPr>
          <c:marker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</c:marker>
          <c:xVal>
            <c:numRef>
              <c:f>'[1]202311'!$Z$50:$Z$94</c:f>
              <c:numCache>
                <c:formatCode>General</c:formatCode>
                <c:ptCount val="45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40</c:v>
                </c:pt>
                <c:pt idx="14">
                  <c:v>41</c:v>
                </c:pt>
                <c:pt idx="15">
                  <c:v>42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46</c:v>
                </c:pt>
                <c:pt idx="20">
                  <c:v>47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51</c:v>
                </c:pt>
                <c:pt idx="25">
                  <c:v>52</c:v>
                </c:pt>
                <c:pt idx="26">
                  <c:v>53</c:v>
                </c:pt>
                <c:pt idx="27">
                  <c:v>54</c:v>
                </c:pt>
                <c:pt idx="28">
                  <c:v>55</c:v>
                </c:pt>
                <c:pt idx="29">
                  <c:v>56</c:v>
                </c:pt>
                <c:pt idx="30">
                  <c:v>57</c:v>
                </c:pt>
                <c:pt idx="31">
                  <c:v>58</c:v>
                </c:pt>
                <c:pt idx="32">
                  <c:v>59</c:v>
                </c:pt>
                <c:pt idx="33">
                  <c:v>60</c:v>
                </c:pt>
                <c:pt idx="34">
                  <c:v>61</c:v>
                </c:pt>
                <c:pt idx="35">
                  <c:v>62</c:v>
                </c:pt>
                <c:pt idx="36">
                  <c:v>63</c:v>
                </c:pt>
                <c:pt idx="37">
                  <c:v>64</c:v>
                </c:pt>
                <c:pt idx="38">
                  <c:v>65</c:v>
                </c:pt>
                <c:pt idx="39">
                  <c:v>66</c:v>
                </c:pt>
                <c:pt idx="40">
                  <c:v>67</c:v>
                </c:pt>
                <c:pt idx="41">
                  <c:v>68</c:v>
                </c:pt>
                <c:pt idx="42">
                  <c:v>69</c:v>
                </c:pt>
                <c:pt idx="43">
                  <c:v>70</c:v>
                </c:pt>
                <c:pt idx="44">
                  <c:v>71</c:v>
                </c:pt>
              </c:numCache>
            </c:numRef>
          </c:xVal>
          <c:yVal>
            <c:numRef>
              <c:f>'[1]202311'!$AD$50:$AD$94</c:f>
              <c:numCache>
                <c:formatCode>General</c:formatCode>
                <c:ptCount val="45"/>
                <c:pt idx="0">
                  <c:v>104.723282</c:v>
                </c:pt>
                <c:pt idx="1">
                  <c:v>104.88038899999999</c:v>
                </c:pt>
                <c:pt idx="2">
                  <c:v>105.037496</c:v>
                </c:pt>
                <c:pt idx="3">
                  <c:v>105.194603</c:v>
                </c:pt>
                <c:pt idx="4">
                  <c:v>105.35171</c:v>
                </c:pt>
                <c:pt idx="5">
                  <c:v>105.50881699999999</c:v>
                </c:pt>
                <c:pt idx="6">
                  <c:v>105.66592399999999</c:v>
                </c:pt>
                <c:pt idx="7">
                  <c:v>105.823031</c:v>
                </c:pt>
                <c:pt idx="8">
                  <c:v>105.980138</c:v>
                </c:pt>
                <c:pt idx="9">
                  <c:v>106.13724499999999</c:v>
                </c:pt>
                <c:pt idx="10">
                  <c:v>106.294352</c:v>
                </c:pt>
                <c:pt idx="11">
                  <c:v>106.451459</c:v>
                </c:pt>
                <c:pt idx="12">
                  <c:v>106.608566</c:v>
                </c:pt>
                <c:pt idx="13">
                  <c:v>106.76567299999999</c:v>
                </c:pt>
                <c:pt idx="14">
                  <c:v>106.92278</c:v>
                </c:pt>
                <c:pt idx="15">
                  <c:v>107.079887</c:v>
                </c:pt>
                <c:pt idx="16">
                  <c:v>107.236994</c:v>
                </c:pt>
                <c:pt idx="17">
                  <c:v>107.39410099999999</c:v>
                </c:pt>
                <c:pt idx="18">
                  <c:v>107.551208</c:v>
                </c:pt>
                <c:pt idx="19">
                  <c:v>107.708315</c:v>
                </c:pt>
                <c:pt idx="20">
                  <c:v>107.865422</c:v>
                </c:pt>
                <c:pt idx="21">
                  <c:v>108.02252899999999</c:v>
                </c:pt>
                <c:pt idx="22">
                  <c:v>108.179636</c:v>
                </c:pt>
                <c:pt idx="23">
                  <c:v>108.336743</c:v>
                </c:pt>
                <c:pt idx="24">
                  <c:v>108.49384999999999</c:v>
                </c:pt>
                <c:pt idx="25">
                  <c:v>108.65095699999999</c:v>
                </c:pt>
                <c:pt idx="26">
                  <c:v>108.808064</c:v>
                </c:pt>
                <c:pt idx="27">
                  <c:v>108.965171</c:v>
                </c:pt>
                <c:pt idx="28">
                  <c:v>109.12227799999999</c:v>
                </c:pt>
                <c:pt idx="29">
                  <c:v>109.27938499999999</c:v>
                </c:pt>
                <c:pt idx="30">
                  <c:v>109.436492</c:v>
                </c:pt>
                <c:pt idx="31">
                  <c:v>109.593599</c:v>
                </c:pt>
                <c:pt idx="32">
                  <c:v>109.75070599999999</c:v>
                </c:pt>
                <c:pt idx="33">
                  <c:v>109.907813</c:v>
                </c:pt>
                <c:pt idx="34">
                  <c:v>110.06492</c:v>
                </c:pt>
                <c:pt idx="35">
                  <c:v>110.222027</c:v>
                </c:pt>
                <c:pt idx="36">
                  <c:v>110.37913399999999</c:v>
                </c:pt>
                <c:pt idx="37">
                  <c:v>110.53624099999999</c:v>
                </c:pt>
                <c:pt idx="38">
                  <c:v>110.693348</c:v>
                </c:pt>
                <c:pt idx="39">
                  <c:v>110.850455</c:v>
                </c:pt>
                <c:pt idx="40">
                  <c:v>111.00756199999999</c:v>
                </c:pt>
                <c:pt idx="41">
                  <c:v>111.164669</c:v>
                </c:pt>
                <c:pt idx="42">
                  <c:v>111.321776</c:v>
                </c:pt>
                <c:pt idx="43">
                  <c:v>111.478883</c:v>
                </c:pt>
                <c:pt idx="44">
                  <c:v>111.63598999999999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395-4B44-B1A0-A8D931697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2832"/>
        <c:axId val="1"/>
      </c:scatterChart>
      <c:catAx>
        <c:axId val="28302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22"/>
          <c:min val="10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2832"/>
        <c:crosses val="autoZero"/>
        <c:crossBetween val="between"/>
        <c:majorUnit val="3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565266841644798"/>
          <c:y val="1.4102129638858433E-2"/>
          <c:w val="0.22434733158355202"/>
          <c:h val="0.97160370776437754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14260717410324E-2"/>
          <c:y val="4.6005855290673359E-2"/>
          <c:w val="0.71340507436570422"/>
          <c:h val="0.77696249386643479"/>
        </c:manualLayout>
      </c:layout>
      <c:lineChart>
        <c:grouping val="standard"/>
        <c:varyColors val="0"/>
        <c:ser>
          <c:idx val="9"/>
          <c:order val="9"/>
          <c:tx>
            <c:v>美國PCE年增率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'[1]202310'!$A$24:$A$93</c:f>
              <c:numCache>
                <c:formatCode>General</c:formatCode>
                <c:ptCount val="7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</c:numCache>
            </c:numRef>
          </c:cat>
          <c:val>
            <c:numRef>
              <c:f>'[1]202310'!$D$24:$D$93</c:f>
              <c:numCache>
                <c:formatCode>General</c:formatCode>
                <c:ptCount val="70"/>
                <c:pt idx="0">
                  <c:v>1.7576494957315711</c:v>
                </c:pt>
                <c:pt idx="1">
                  <c:v>1.8376076958608623</c:v>
                </c:pt>
                <c:pt idx="2">
                  <c:v>1.9982920580700301</c:v>
                </c:pt>
                <c:pt idx="3">
                  <c:v>2.0466282276259826</c:v>
                </c:pt>
                <c:pt idx="4">
                  <c:v>2.2662065367869828</c:v>
                </c:pt>
                <c:pt idx="5">
                  <c:v>2.2683078403464014</c:v>
                </c:pt>
                <c:pt idx="6">
                  <c:v>2.3386070559001264</c:v>
                </c:pt>
                <c:pt idx="7">
                  <c:v>2.1804112889519804</c:v>
                </c:pt>
                <c:pt idx="8">
                  <c:v>2.0099601593625502</c:v>
                </c:pt>
                <c:pt idx="9">
                  <c:v>2.0530980493579025</c:v>
                </c:pt>
                <c:pt idx="10">
                  <c:v>1.9418922274646122</c:v>
                </c:pt>
                <c:pt idx="11">
                  <c:v>1.8646908878110666</c:v>
                </c:pt>
                <c:pt idx="12">
                  <c:v>1.4970503661103376</c:v>
                </c:pt>
                <c:pt idx="13">
                  <c:v>1.4258105229943974</c:v>
                </c:pt>
                <c:pt idx="14">
                  <c:v>1.5090027973681066</c:v>
                </c:pt>
                <c:pt idx="15">
                  <c:v>1.5771475738458716</c:v>
                </c:pt>
                <c:pt idx="16">
                  <c:v>1.4567249683640531</c:v>
                </c:pt>
                <c:pt idx="17">
                  <c:v>1.4113634358858733</c:v>
                </c:pt>
                <c:pt idx="18">
                  <c:v>1.4402224463221003</c:v>
                </c:pt>
                <c:pt idx="19">
                  <c:v>1.4216108328115244</c:v>
                </c:pt>
                <c:pt idx="20">
                  <c:v>1.3044582007069054</c:v>
                </c:pt>
                <c:pt idx="21">
                  <c:v>1.3314489010185679</c:v>
                </c:pt>
                <c:pt idx="22">
                  <c:v>1.3319692097827189</c:v>
                </c:pt>
                <c:pt idx="23">
                  <c:v>1.5394202588095571</c:v>
                </c:pt>
                <c:pt idx="24">
                  <c:v>1.6979184921237609</c:v>
                </c:pt>
                <c:pt idx="25">
                  <c:v>1.6420057941708379</c:v>
                </c:pt>
                <c:pt idx="26">
                  <c:v>1.1469492314857963</c:v>
                </c:pt>
                <c:pt idx="27">
                  <c:v>0.41114045525341864</c:v>
                </c:pt>
                <c:pt idx="28">
                  <c:v>0.44862993831338216</c:v>
                </c:pt>
                <c:pt idx="29">
                  <c:v>0.70552532642627652</c:v>
                </c:pt>
                <c:pt idx="30">
                  <c:v>0.90050961315727807</c:v>
                </c:pt>
                <c:pt idx="31">
                  <c:v>1.1653370119910076</c:v>
                </c:pt>
                <c:pt idx="32">
                  <c:v>1.2471808315823938</c:v>
                </c:pt>
                <c:pt idx="33">
                  <c:v>1.11868873904637</c:v>
                </c:pt>
                <c:pt idx="34">
                  <c:v>1.1538794388299689</c:v>
                </c:pt>
                <c:pt idx="35">
                  <c:v>1.3664870255652914</c:v>
                </c:pt>
                <c:pt idx="36">
                  <c:v>1.6150031591644467</c:v>
                </c:pt>
                <c:pt idx="37">
                  <c:v>1.8852043500301323</c:v>
                </c:pt>
                <c:pt idx="38">
                  <c:v>2.7130221224505489</c:v>
                </c:pt>
                <c:pt idx="39">
                  <c:v>3.7246136652664839</c:v>
                </c:pt>
                <c:pt idx="40">
                  <c:v>4.1553566272018418</c:v>
                </c:pt>
                <c:pt idx="41">
                  <c:v>4.3724028061689628</c:v>
                </c:pt>
                <c:pt idx="42">
                  <c:v>4.5331496733339112</c:v>
                </c:pt>
                <c:pt idx="43">
                  <c:v>4.6448426131649914</c:v>
                </c:pt>
                <c:pt idx="44">
                  <c:v>4.8054222831467532</c:v>
                </c:pt>
                <c:pt idx="45">
                  <c:v>5.4069479852364948</c:v>
                </c:pt>
                <c:pt idx="46">
                  <c:v>5.9859121457836224</c:v>
                </c:pt>
                <c:pt idx="47">
                  <c:v>6.1802908038256712</c:v>
                </c:pt>
                <c:pt idx="48">
                  <c:v>6.2970464930048493</c:v>
                </c:pt>
                <c:pt idx="49">
                  <c:v>6.5470043746831541</c:v>
                </c:pt>
                <c:pt idx="50">
                  <c:v>6.8929445388825537</c:v>
                </c:pt>
                <c:pt idx="51">
                  <c:v>6.619791569913243</c:v>
                </c:pt>
                <c:pt idx="52">
                  <c:v>6.6899553633313973</c:v>
                </c:pt>
                <c:pt idx="53">
                  <c:v>7.1169141648659915</c:v>
                </c:pt>
                <c:pt idx="54">
                  <c:v>6.616947291361635</c:v>
                </c:pt>
                <c:pt idx="55">
                  <c:v>6.5154000364497957</c:v>
                </c:pt>
                <c:pt idx="56">
                  <c:v>6.5560964976020832</c:v>
                </c:pt>
                <c:pt idx="57">
                  <c:v>6.3479171178976168</c:v>
                </c:pt>
                <c:pt idx="58">
                  <c:v>5.9285701472724988</c:v>
                </c:pt>
                <c:pt idx="59">
                  <c:v>5.441910192444765</c:v>
                </c:pt>
                <c:pt idx="60">
                  <c:v>5.4790878231660329</c:v>
                </c:pt>
                <c:pt idx="61">
                  <c:v>5.1896102065271021</c:v>
                </c:pt>
                <c:pt idx="62">
                  <c:v>4.4422697167222998</c:v>
                </c:pt>
                <c:pt idx="63">
                  <c:v>4.4464190819677833</c:v>
                </c:pt>
                <c:pt idx="64">
                  <c:v>3.9620255357483138</c:v>
                </c:pt>
                <c:pt idx="65">
                  <c:v>3.1984205330700881</c:v>
                </c:pt>
                <c:pt idx="66">
                  <c:v>3.370497206272375</c:v>
                </c:pt>
                <c:pt idx="67">
                  <c:v>3.410899135939768</c:v>
                </c:pt>
                <c:pt idx="68">
                  <c:v>3.419029271868669</c:v>
                </c:pt>
                <c:pt idx="69">
                  <c:v>3.0065681166307483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E-422F-A5AA-81E6D91B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5232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'[1]202310'!$A$24</c:f>
              <c:strCache>
                <c:ptCount val="1"/>
                <c:pt idx="0">
                  <c:v>43101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'[1]202310'!$E$24:$E$28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'[1]202310'!$H$24:$H$28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0E-422F-A5AA-81E6D91BE76A}"/>
            </c:ext>
          </c:extLst>
        </c:ser>
        <c:ser>
          <c:idx val="1"/>
          <c:order val="1"/>
          <c:tx>
            <c:strRef>
              <c:f>'[1]202310'!$A$29</c:f>
              <c:strCache>
                <c:ptCount val="1"/>
                <c:pt idx="0">
                  <c:v>43252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'[1]202310'!$E$29:$E$35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'[1]202310'!$H$29:$H$35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0E-422F-A5AA-81E6D91BE76A}"/>
            </c:ext>
          </c:extLst>
        </c:ser>
        <c:ser>
          <c:idx val="2"/>
          <c:order val="2"/>
          <c:tx>
            <c:strRef>
              <c:f>'[1]202310'!$A$36</c:f>
              <c:strCache>
                <c:ptCount val="1"/>
                <c:pt idx="0">
                  <c:v>43466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'[1]202310'!$E$36:$E$46</c:f>
              <c:numCache>
                <c:formatCode>General</c:formatCode>
                <c:ptCount val="11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</c:numCache>
            </c:numRef>
          </c:xVal>
          <c:yVal>
            <c:numRef>
              <c:f>'[1]202310'!$H$36:$H$46</c:f>
              <c:numCache>
                <c:formatCode>General</c:formatCode>
                <c:ptCount val="11"/>
                <c:pt idx="0">
                  <c:v>1.5253491168</c:v>
                </c:pt>
                <c:pt idx="1">
                  <c:v>1.5058576435</c:v>
                </c:pt>
                <c:pt idx="2">
                  <c:v>1.4863661703</c:v>
                </c:pt>
                <c:pt idx="3">
                  <c:v>1.4668746969999999</c:v>
                </c:pt>
                <c:pt idx="4">
                  <c:v>1.4473832236999999</c:v>
                </c:pt>
                <c:pt idx="5">
                  <c:v>1.4278917504999999</c:v>
                </c:pt>
                <c:pt idx="6">
                  <c:v>1.4084002771999999</c:v>
                </c:pt>
                <c:pt idx="7">
                  <c:v>1.3889088038999999</c:v>
                </c:pt>
                <c:pt idx="8">
                  <c:v>1.3694173305999999</c:v>
                </c:pt>
                <c:pt idx="9">
                  <c:v>1.3499258573999999</c:v>
                </c:pt>
                <c:pt idx="10">
                  <c:v>1.3304343840999999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0E-422F-A5AA-81E6D91BE76A}"/>
            </c:ext>
          </c:extLst>
        </c:ser>
        <c:ser>
          <c:idx val="3"/>
          <c:order val="3"/>
          <c:tx>
            <c:strRef>
              <c:f>'[1]202310'!$A$47</c:f>
              <c:strCache>
                <c:ptCount val="1"/>
                <c:pt idx="0">
                  <c:v>43800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'[1]202310'!$E$47:$E$52</c:f>
              <c:numCache>
                <c:formatCode>General</c:formatCode>
                <c:ptCount val="6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</c:numCache>
            </c:numRef>
          </c:xVal>
          <c:yVal>
            <c:numRef>
              <c:f>'[1]202310'!$H$47:$H$52</c:f>
              <c:numCache>
                <c:formatCode>General</c:formatCode>
                <c:ptCount val="6"/>
                <c:pt idx="0">
                  <c:v>1.8483446670999999</c:v>
                </c:pt>
                <c:pt idx="1">
                  <c:v>1.5680777449000001</c:v>
                </c:pt>
                <c:pt idx="2">
                  <c:v>1.2878108226</c:v>
                </c:pt>
                <c:pt idx="3">
                  <c:v>1.0075439004</c:v>
                </c:pt>
                <c:pt idx="4">
                  <c:v>0.72727697810000003</c:v>
                </c:pt>
                <c:pt idx="5">
                  <c:v>0.44701005589999998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0E-422F-A5AA-81E6D91BE76A}"/>
            </c:ext>
          </c:extLst>
        </c:ser>
        <c:ser>
          <c:idx val="4"/>
          <c:order val="4"/>
          <c:tx>
            <c:strRef>
              <c:f>'[1]202310'!$A$53</c:f>
              <c:strCache>
                <c:ptCount val="1"/>
                <c:pt idx="0">
                  <c:v>43983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'[1]202310'!$E$53:$E$57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</c:numCache>
            </c:numRef>
          </c:xVal>
          <c:yVal>
            <c:numRef>
              <c:f>'[1]202310'!$H$53:$H$57</c:f>
              <c:numCache>
                <c:formatCode>General</c:formatCode>
                <c:ptCount val="5"/>
                <c:pt idx="0">
                  <c:v>0.79284869540000003</c:v>
                </c:pt>
                <c:pt idx="1">
                  <c:v>0.91014849990000002</c:v>
                </c:pt>
                <c:pt idx="2">
                  <c:v>1.0274483044</c:v>
                </c:pt>
                <c:pt idx="3">
                  <c:v>1.1447481089</c:v>
                </c:pt>
                <c:pt idx="4">
                  <c:v>1.2620479134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0E-422F-A5AA-81E6D91BE76A}"/>
            </c:ext>
          </c:extLst>
        </c:ser>
        <c:ser>
          <c:idx val="5"/>
          <c:order val="5"/>
          <c:tx>
            <c:strRef>
              <c:f>'[1]202310'!$A$58</c:f>
              <c:strCache>
                <c:ptCount val="1"/>
                <c:pt idx="0">
                  <c:v>44136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'[1]202310'!$E$58:$E$62</c:f>
              <c:numCache>
                <c:formatCode>General</c:formatCode>
                <c:ptCount val="5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</c:numCache>
            </c:numRef>
          </c:xVal>
          <c:yVal>
            <c:numRef>
              <c:f>'[1]202310'!$H$58:$H$62</c:f>
              <c:numCache>
                <c:formatCode>General</c:formatCode>
                <c:ptCount val="5"/>
                <c:pt idx="0">
                  <c:v>1.0193186811999999</c:v>
                </c:pt>
                <c:pt idx="1">
                  <c:v>1.3830189502000001</c:v>
                </c:pt>
                <c:pt idx="2">
                  <c:v>1.7467192192000001</c:v>
                </c:pt>
                <c:pt idx="3">
                  <c:v>2.1104194881999998</c:v>
                </c:pt>
                <c:pt idx="4">
                  <c:v>2.4741197572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0E-422F-A5AA-81E6D91BE76A}"/>
            </c:ext>
          </c:extLst>
        </c:ser>
        <c:ser>
          <c:idx val="6"/>
          <c:order val="6"/>
          <c:tx>
            <c:strRef>
              <c:f>'[1]202310'!$A$63</c:f>
              <c:strCache>
                <c:ptCount val="1"/>
                <c:pt idx="0">
                  <c:v>44287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'[1]202310'!$E$63:$E$68</c:f>
              <c:numCache>
                <c:formatCode>General</c:formatCode>
                <c:ptCount val="6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</c:numCache>
            </c:numRef>
          </c:xVal>
          <c:yVal>
            <c:numRef>
              <c:f>'[1]202310'!$H$63:$H$68</c:f>
              <c:numCache>
                <c:formatCode>General</c:formatCode>
                <c:ptCount val="6"/>
                <c:pt idx="0">
                  <c:v>3.8702564268000001</c:v>
                </c:pt>
                <c:pt idx="1">
                  <c:v>4.0712063672000003</c:v>
                </c:pt>
                <c:pt idx="2">
                  <c:v>4.2721563076000004</c:v>
                </c:pt>
                <c:pt idx="3">
                  <c:v>4.4731062479999997</c:v>
                </c:pt>
                <c:pt idx="4">
                  <c:v>4.6740561884999998</c:v>
                </c:pt>
                <c:pt idx="5">
                  <c:v>4.8750061289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10E-422F-A5AA-81E6D91BE76A}"/>
            </c:ext>
          </c:extLst>
        </c:ser>
        <c:ser>
          <c:idx val="7"/>
          <c:order val="7"/>
          <c:tx>
            <c:strRef>
              <c:f>'[1]202310'!$A$69</c:f>
              <c:strCache>
                <c:ptCount val="1"/>
                <c:pt idx="0">
                  <c:v>44470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'[1]202310'!$E$69:$E$74</c:f>
              <c:numCache>
                <c:formatCode>General</c:formatCode>
                <c:ptCount val="6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</c:numCache>
            </c:numRef>
          </c:xVal>
          <c:yVal>
            <c:numRef>
              <c:f>'[1]202310'!$H$69:$H$74</c:f>
              <c:numCache>
                <c:formatCode>General</c:formatCode>
                <c:ptCount val="6"/>
                <c:pt idx="0">
                  <c:v>5.5590709274999996</c:v>
                </c:pt>
                <c:pt idx="1">
                  <c:v>5.8227856459999998</c:v>
                </c:pt>
                <c:pt idx="2">
                  <c:v>6.0865003644</c:v>
                </c:pt>
                <c:pt idx="3">
                  <c:v>6.3502150829000001</c:v>
                </c:pt>
                <c:pt idx="4">
                  <c:v>6.6139298014000003</c:v>
                </c:pt>
                <c:pt idx="5">
                  <c:v>6.8776445197999996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0E-422F-A5AA-81E6D91BE76A}"/>
            </c:ext>
          </c:extLst>
        </c:ser>
        <c:ser>
          <c:idx val="8"/>
          <c:order val="8"/>
          <c:tx>
            <c:strRef>
              <c:f>'[1]202310'!$A$75</c:f>
              <c:strCache>
                <c:ptCount val="1"/>
                <c:pt idx="0">
                  <c:v>44652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'[1]202310'!$E$75:$E$93</c:f>
              <c:numCache>
                <c:formatCode>General</c:formatCode>
                <c:ptCount val="19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</c:numCache>
            </c:numRef>
          </c:xVal>
          <c:yVal>
            <c:numRef>
              <c:f>'[1]202310'!$H$75:$H$93</c:f>
              <c:numCache>
                <c:formatCode>General</c:formatCode>
                <c:ptCount val="19"/>
                <c:pt idx="0">
                  <c:v>7.3556668188999996</c:v>
                </c:pt>
                <c:pt idx="1">
                  <c:v>7.1100566401999998</c:v>
                </c:pt>
                <c:pt idx="2">
                  <c:v>6.8644464616</c:v>
                </c:pt>
                <c:pt idx="3">
                  <c:v>6.6188362829000003</c:v>
                </c:pt>
                <c:pt idx="4">
                  <c:v>6.3732261042999996</c:v>
                </c:pt>
                <c:pt idx="5">
                  <c:v>6.1276159255999998</c:v>
                </c:pt>
                <c:pt idx="6">
                  <c:v>5.882005747</c:v>
                </c:pt>
                <c:pt idx="7">
                  <c:v>5.6363955683000002</c:v>
                </c:pt>
                <c:pt idx="8">
                  <c:v>5.3907853897000004</c:v>
                </c:pt>
                <c:pt idx="9">
                  <c:v>5.1451752109999997</c:v>
                </c:pt>
                <c:pt idx="10">
                  <c:v>4.8995650323</c:v>
                </c:pt>
                <c:pt idx="11">
                  <c:v>4.6539548537000002</c:v>
                </c:pt>
                <c:pt idx="12">
                  <c:v>4.4083446750000004</c:v>
                </c:pt>
                <c:pt idx="13">
                  <c:v>4.1627344963999997</c:v>
                </c:pt>
                <c:pt idx="14">
                  <c:v>3.9171243176999999</c:v>
                </c:pt>
                <c:pt idx="15">
                  <c:v>3.6715141391000001</c:v>
                </c:pt>
                <c:pt idx="16">
                  <c:v>3.4259039603999999</c:v>
                </c:pt>
                <c:pt idx="17">
                  <c:v>3.1802937818000001</c:v>
                </c:pt>
                <c:pt idx="18">
                  <c:v>2.9346836030999999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10E-422F-A5AA-81E6D91B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5232"/>
        <c:axId val="1"/>
      </c:scatterChart>
      <c:catAx>
        <c:axId val="28302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52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287489063867021"/>
          <c:y val="0.14743962595127869"/>
          <c:w val="0.21045844269466318"/>
          <c:h val="0.6549328004853665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914260717410324E-2"/>
          <c:y val="4.6005855290673359E-2"/>
          <c:w val="0.71340507436570422"/>
          <c:h val="0.77696249386643479"/>
        </c:manualLayout>
      </c:layout>
      <c:lineChart>
        <c:grouping val="standard"/>
        <c:varyColors val="0"/>
        <c:ser>
          <c:idx val="9"/>
          <c:order val="9"/>
          <c:tx>
            <c:v>美國PCE年增率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'202309'!$A$24:$A$92</c:f>
              <c:numCache>
                <c:formatCode>yyyy\-mm</c:formatCode>
                <c:ptCount val="69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</c:numCache>
            </c:numRef>
          </c:cat>
          <c:val>
            <c:numRef>
              <c:f>'202309'!$G$24:$G$92</c:f>
              <c:numCache>
                <c:formatCode>General</c:formatCode>
                <c:ptCount val="69"/>
                <c:pt idx="0">
                  <c:v>1.757649496</c:v>
                </c:pt>
                <c:pt idx="1">
                  <c:v>1.8376076960000001</c:v>
                </c:pt>
                <c:pt idx="2">
                  <c:v>1.9982920580000001</c:v>
                </c:pt>
                <c:pt idx="3">
                  <c:v>2.0466282279999999</c:v>
                </c:pt>
                <c:pt idx="4">
                  <c:v>2.266206537</c:v>
                </c:pt>
                <c:pt idx="5">
                  <c:v>2.2683078399999999</c:v>
                </c:pt>
                <c:pt idx="6">
                  <c:v>2.3386070559999999</c:v>
                </c:pt>
                <c:pt idx="7">
                  <c:v>2.1804112889999998</c:v>
                </c:pt>
                <c:pt idx="8">
                  <c:v>2.0099601589999998</c:v>
                </c:pt>
                <c:pt idx="9">
                  <c:v>2.0530980489999999</c:v>
                </c:pt>
                <c:pt idx="10">
                  <c:v>1.9418922270000001</c:v>
                </c:pt>
                <c:pt idx="11">
                  <c:v>1.8646908879999999</c:v>
                </c:pt>
                <c:pt idx="12">
                  <c:v>1.4970503660000001</c:v>
                </c:pt>
                <c:pt idx="13">
                  <c:v>1.425810523</c:v>
                </c:pt>
                <c:pt idx="14">
                  <c:v>1.509002797</c:v>
                </c:pt>
                <c:pt idx="15">
                  <c:v>1.5771475740000001</c:v>
                </c:pt>
                <c:pt idx="16">
                  <c:v>1.4567249680000001</c:v>
                </c:pt>
                <c:pt idx="17">
                  <c:v>1.411363436</c:v>
                </c:pt>
                <c:pt idx="18">
                  <c:v>1.4402224459999999</c:v>
                </c:pt>
                <c:pt idx="19">
                  <c:v>1.4216108329999999</c:v>
                </c:pt>
                <c:pt idx="20">
                  <c:v>1.3044582010000001</c:v>
                </c:pt>
                <c:pt idx="21">
                  <c:v>1.3314489009999999</c:v>
                </c:pt>
                <c:pt idx="22">
                  <c:v>1.33196921</c:v>
                </c:pt>
                <c:pt idx="23">
                  <c:v>1.5394202589999999</c:v>
                </c:pt>
                <c:pt idx="24">
                  <c:v>1.6979184919999999</c:v>
                </c:pt>
                <c:pt idx="25">
                  <c:v>1.6420057939999999</c:v>
                </c:pt>
                <c:pt idx="26">
                  <c:v>1.146949231</c:v>
                </c:pt>
                <c:pt idx="27">
                  <c:v>0.41114045500000002</c:v>
                </c:pt>
                <c:pt idx="28">
                  <c:v>0.44862993800000001</c:v>
                </c:pt>
                <c:pt idx="29">
                  <c:v>0.70552532599999995</c:v>
                </c:pt>
                <c:pt idx="30">
                  <c:v>0.90050961299999999</c:v>
                </c:pt>
                <c:pt idx="31">
                  <c:v>1.1653370119999999</c:v>
                </c:pt>
                <c:pt idx="32">
                  <c:v>1.247180832</c:v>
                </c:pt>
                <c:pt idx="33">
                  <c:v>1.118688739</c:v>
                </c:pt>
                <c:pt idx="34">
                  <c:v>1.153879439</c:v>
                </c:pt>
                <c:pt idx="35">
                  <c:v>1.3664870259999999</c:v>
                </c:pt>
                <c:pt idx="36">
                  <c:v>1.615003159</c:v>
                </c:pt>
                <c:pt idx="37">
                  <c:v>1.88520435</c:v>
                </c:pt>
                <c:pt idx="38">
                  <c:v>2.7130221219999999</c:v>
                </c:pt>
                <c:pt idx="39">
                  <c:v>3.7246136650000001</c:v>
                </c:pt>
                <c:pt idx="40">
                  <c:v>4.1553566269999997</c:v>
                </c:pt>
                <c:pt idx="41">
                  <c:v>4.3724028060000002</c:v>
                </c:pt>
                <c:pt idx="42">
                  <c:v>4.5331496729999996</c:v>
                </c:pt>
                <c:pt idx="43">
                  <c:v>4.6448426129999998</c:v>
                </c:pt>
                <c:pt idx="44">
                  <c:v>4.8054222830000004</c:v>
                </c:pt>
                <c:pt idx="45">
                  <c:v>5.4069479850000004</c:v>
                </c:pt>
                <c:pt idx="46">
                  <c:v>5.9859121460000004</c:v>
                </c:pt>
                <c:pt idx="47">
                  <c:v>6.1802908040000002</c:v>
                </c:pt>
                <c:pt idx="48">
                  <c:v>6.2970464929999999</c:v>
                </c:pt>
                <c:pt idx="49">
                  <c:v>6.5470043750000002</c:v>
                </c:pt>
                <c:pt idx="50">
                  <c:v>6.8929445390000001</c:v>
                </c:pt>
                <c:pt idx="51">
                  <c:v>6.6197915700000003</c:v>
                </c:pt>
                <c:pt idx="52">
                  <c:v>6.6899553630000002</c:v>
                </c:pt>
                <c:pt idx="53">
                  <c:v>7.1169141649999998</c:v>
                </c:pt>
                <c:pt idx="54">
                  <c:v>6.6169472909999998</c:v>
                </c:pt>
                <c:pt idx="55">
                  <c:v>6.515400036</c:v>
                </c:pt>
                <c:pt idx="56">
                  <c:v>6.5560964979999996</c:v>
                </c:pt>
                <c:pt idx="57">
                  <c:v>6.3479171179999998</c:v>
                </c:pt>
                <c:pt idx="58">
                  <c:v>5.9285701470000003</c:v>
                </c:pt>
                <c:pt idx="59">
                  <c:v>5.4419101919999999</c:v>
                </c:pt>
                <c:pt idx="60">
                  <c:v>5.4790878230000004</c:v>
                </c:pt>
                <c:pt idx="61">
                  <c:v>5.1896102070000003</c:v>
                </c:pt>
                <c:pt idx="62">
                  <c:v>4.4422697170000003</c:v>
                </c:pt>
                <c:pt idx="63">
                  <c:v>4.4464190820000002</c:v>
                </c:pt>
                <c:pt idx="64">
                  <c:v>3.9620255360000001</c:v>
                </c:pt>
                <c:pt idx="65">
                  <c:v>3.1984205330000002</c:v>
                </c:pt>
                <c:pt idx="66">
                  <c:v>3.370497206</c:v>
                </c:pt>
                <c:pt idx="67">
                  <c:v>3.4108991359999998</c:v>
                </c:pt>
                <c:pt idx="68">
                  <c:v>3.419029272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28-4ED8-BC44-493713E15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25232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'202309'!$A$24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'[1]202310'!$E$24:$E$28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'[1]202310'!$H$24:$H$28</c:f>
              <c:numCache>
                <c:formatCode>General</c:formatCode>
                <c:ptCount val="5"/>
                <c:pt idx="0">
                  <c:v>1.7360498802</c:v>
                </c:pt>
                <c:pt idx="1">
                  <c:v>1.8586633416</c:v>
                </c:pt>
                <c:pt idx="2">
                  <c:v>1.9812768030000001</c:v>
                </c:pt>
                <c:pt idx="3">
                  <c:v>2.1038902643999999</c:v>
                </c:pt>
                <c:pt idx="4">
                  <c:v>2.2265037258000002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28-4ED8-BC44-493713E15410}"/>
            </c:ext>
          </c:extLst>
        </c:ser>
        <c:ser>
          <c:idx val="1"/>
          <c:order val="1"/>
          <c:tx>
            <c:strRef>
              <c:f>'202309'!$A$29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'[1]202310'!$E$29:$E$35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'[1]202310'!$H$29:$H$35</c:f>
              <c:numCache>
                <c:formatCode>General</c:formatCode>
                <c:ptCount val="7"/>
                <c:pt idx="0">
                  <c:v>2.3222375461999998</c:v>
                </c:pt>
                <c:pt idx="1">
                  <c:v>2.2461091979000001</c:v>
                </c:pt>
                <c:pt idx="2">
                  <c:v>2.1699808494999999</c:v>
                </c:pt>
                <c:pt idx="3">
                  <c:v>2.0938525011000002</c:v>
                </c:pt>
                <c:pt idx="4">
                  <c:v>2.0177241528000001</c:v>
                </c:pt>
                <c:pt idx="5">
                  <c:v>1.9415958043999999</c:v>
                </c:pt>
                <c:pt idx="6">
                  <c:v>1.8654674561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28-4ED8-BC44-493713E15410}"/>
            </c:ext>
          </c:extLst>
        </c:ser>
        <c:ser>
          <c:idx val="2"/>
          <c:order val="2"/>
          <c:tx>
            <c:strRef>
              <c:f>'202309'!$A$36</c:f>
              <c:strCache>
                <c:ptCount val="1"/>
                <c:pt idx="0">
                  <c:v>2019-01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'[1]202310'!$E$36:$E$46</c:f>
              <c:numCache>
                <c:formatCode>General</c:formatCode>
                <c:ptCount val="11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</c:numCache>
            </c:numRef>
          </c:xVal>
          <c:yVal>
            <c:numRef>
              <c:f>'[1]202310'!$H$36:$H$46</c:f>
              <c:numCache>
                <c:formatCode>General</c:formatCode>
                <c:ptCount val="11"/>
                <c:pt idx="0">
                  <c:v>1.5253491168</c:v>
                </c:pt>
                <c:pt idx="1">
                  <c:v>1.5058576435</c:v>
                </c:pt>
                <c:pt idx="2">
                  <c:v>1.4863661703</c:v>
                </c:pt>
                <c:pt idx="3">
                  <c:v>1.4668746969999999</c:v>
                </c:pt>
                <c:pt idx="4">
                  <c:v>1.4473832236999999</c:v>
                </c:pt>
                <c:pt idx="5">
                  <c:v>1.4278917504999999</c:v>
                </c:pt>
                <c:pt idx="6">
                  <c:v>1.4084002771999999</c:v>
                </c:pt>
                <c:pt idx="7">
                  <c:v>1.3889088038999999</c:v>
                </c:pt>
                <c:pt idx="8">
                  <c:v>1.3694173305999999</c:v>
                </c:pt>
                <c:pt idx="9">
                  <c:v>1.3499258573999999</c:v>
                </c:pt>
                <c:pt idx="10">
                  <c:v>1.3304343840999999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28-4ED8-BC44-493713E15410}"/>
            </c:ext>
          </c:extLst>
        </c:ser>
        <c:ser>
          <c:idx val="3"/>
          <c:order val="3"/>
          <c:tx>
            <c:strRef>
              <c:f>'202309'!$A$47</c:f>
              <c:strCache>
                <c:ptCount val="1"/>
                <c:pt idx="0">
                  <c:v>2019-12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'[1]202310'!$E$47:$E$52</c:f>
              <c:numCache>
                <c:formatCode>General</c:formatCode>
                <c:ptCount val="6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</c:numCache>
            </c:numRef>
          </c:xVal>
          <c:yVal>
            <c:numRef>
              <c:f>'[1]202310'!$H$47:$H$52</c:f>
              <c:numCache>
                <c:formatCode>General</c:formatCode>
                <c:ptCount val="6"/>
                <c:pt idx="0">
                  <c:v>1.8483446670999999</c:v>
                </c:pt>
                <c:pt idx="1">
                  <c:v>1.5680777449000001</c:v>
                </c:pt>
                <c:pt idx="2">
                  <c:v>1.2878108226</c:v>
                </c:pt>
                <c:pt idx="3">
                  <c:v>1.0075439004</c:v>
                </c:pt>
                <c:pt idx="4">
                  <c:v>0.72727697810000003</c:v>
                </c:pt>
                <c:pt idx="5">
                  <c:v>0.44701005589999998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28-4ED8-BC44-493713E15410}"/>
            </c:ext>
          </c:extLst>
        </c:ser>
        <c:ser>
          <c:idx val="4"/>
          <c:order val="4"/>
          <c:tx>
            <c:strRef>
              <c:f>'202309'!$A$53</c:f>
              <c:strCache>
                <c:ptCount val="1"/>
                <c:pt idx="0">
                  <c:v>2020-06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'[1]202310'!$E$53:$E$57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</c:numCache>
            </c:numRef>
          </c:xVal>
          <c:yVal>
            <c:numRef>
              <c:f>'[1]202310'!$H$53:$H$57</c:f>
              <c:numCache>
                <c:formatCode>General</c:formatCode>
                <c:ptCount val="5"/>
                <c:pt idx="0">
                  <c:v>0.79284869540000003</c:v>
                </c:pt>
                <c:pt idx="1">
                  <c:v>0.91014849990000002</c:v>
                </c:pt>
                <c:pt idx="2">
                  <c:v>1.0274483044</c:v>
                </c:pt>
                <c:pt idx="3">
                  <c:v>1.1447481089</c:v>
                </c:pt>
                <c:pt idx="4">
                  <c:v>1.2620479134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28-4ED8-BC44-493713E15410}"/>
            </c:ext>
          </c:extLst>
        </c:ser>
        <c:ser>
          <c:idx val="5"/>
          <c:order val="5"/>
          <c:tx>
            <c:strRef>
              <c:f>'202309'!$A$58</c:f>
              <c:strCache>
                <c:ptCount val="1"/>
                <c:pt idx="0">
                  <c:v>2020-11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'[1]202310'!$E$58:$E$62</c:f>
              <c:numCache>
                <c:formatCode>General</c:formatCode>
                <c:ptCount val="5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</c:numCache>
            </c:numRef>
          </c:xVal>
          <c:yVal>
            <c:numRef>
              <c:f>'[1]202310'!$H$58:$H$62</c:f>
              <c:numCache>
                <c:formatCode>General</c:formatCode>
                <c:ptCount val="5"/>
                <c:pt idx="0">
                  <c:v>1.0193186811999999</c:v>
                </c:pt>
                <c:pt idx="1">
                  <c:v>1.3830189502000001</c:v>
                </c:pt>
                <c:pt idx="2">
                  <c:v>1.7467192192000001</c:v>
                </c:pt>
                <c:pt idx="3">
                  <c:v>2.1104194881999998</c:v>
                </c:pt>
                <c:pt idx="4">
                  <c:v>2.4741197572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528-4ED8-BC44-493713E15410}"/>
            </c:ext>
          </c:extLst>
        </c:ser>
        <c:ser>
          <c:idx val="6"/>
          <c:order val="6"/>
          <c:tx>
            <c:strRef>
              <c:f>'202309'!$A$63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'[1]202310'!$E$63:$E$68</c:f>
              <c:numCache>
                <c:formatCode>General</c:formatCode>
                <c:ptCount val="6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</c:numCache>
            </c:numRef>
          </c:xVal>
          <c:yVal>
            <c:numRef>
              <c:f>'[1]202310'!$H$63:$H$68</c:f>
              <c:numCache>
                <c:formatCode>General</c:formatCode>
                <c:ptCount val="6"/>
                <c:pt idx="0">
                  <c:v>3.8702564268000001</c:v>
                </c:pt>
                <c:pt idx="1">
                  <c:v>4.0712063672000003</c:v>
                </c:pt>
                <c:pt idx="2">
                  <c:v>4.2721563076000004</c:v>
                </c:pt>
                <c:pt idx="3">
                  <c:v>4.4731062479999997</c:v>
                </c:pt>
                <c:pt idx="4">
                  <c:v>4.6740561884999998</c:v>
                </c:pt>
                <c:pt idx="5">
                  <c:v>4.8750061289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28-4ED8-BC44-493713E15410}"/>
            </c:ext>
          </c:extLst>
        </c:ser>
        <c:ser>
          <c:idx val="7"/>
          <c:order val="7"/>
          <c:tx>
            <c:strRef>
              <c:f>'202309'!$A$69</c:f>
              <c:strCache>
                <c:ptCount val="1"/>
                <c:pt idx="0">
                  <c:v>2021-10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'[1]202310'!$E$69:$E$74</c:f>
              <c:numCache>
                <c:formatCode>General</c:formatCode>
                <c:ptCount val="6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</c:numCache>
            </c:numRef>
          </c:xVal>
          <c:yVal>
            <c:numRef>
              <c:f>'[1]202310'!$H$69:$H$74</c:f>
              <c:numCache>
                <c:formatCode>General</c:formatCode>
                <c:ptCount val="6"/>
                <c:pt idx="0">
                  <c:v>5.5590709274999996</c:v>
                </c:pt>
                <c:pt idx="1">
                  <c:v>5.8227856459999998</c:v>
                </c:pt>
                <c:pt idx="2">
                  <c:v>6.0865003644</c:v>
                </c:pt>
                <c:pt idx="3">
                  <c:v>6.3502150829000001</c:v>
                </c:pt>
                <c:pt idx="4">
                  <c:v>6.6139298014000003</c:v>
                </c:pt>
                <c:pt idx="5">
                  <c:v>6.8776445197999996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528-4ED8-BC44-493713E15410}"/>
            </c:ext>
          </c:extLst>
        </c:ser>
        <c:ser>
          <c:idx val="8"/>
          <c:order val="8"/>
          <c:tx>
            <c:strRef>
              <c:f>'202309'!$A$75</c:f>
              <c:strCache>
                <c:ptCount val="1"/>
                <c:pt idx="0">
                  <c:v>2022-04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'202309'!$E$75:$E$92</c:f>
              <c:numCache>
                <c:formatCode>General</c:formatCode>
                <c:ptCount val="18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</c:numCache>
            </c:numRef>
          </c:xVal>
          <c:yVal>
            <c:numRef>
              <c:f>'202309'!$H$75:$H$92</c:f>
              <c:numCache>
                <c:formatCode>General</c:formatCode>
                <c:ptCount val="18"/>
                <c:pt idx="0">
                  <c:v>7.3636539871000002</c:v>
                </c:pt>
                <c:pt idx="1">
                  <c:v>7.1166343082000001</c:v>
                </c:pt>
                <c:pt idx="2">
                  <c:v>6.8696146293</c:v>
                </c:pt>
                <c:pt idx="3">
                  <c:v>6.6225949502999999</c:v>
                </c:pt>
                <c:pt idx="4">
                  <c:v>6.3755752713999998</c:v>
                </c:pt>
                <c:pt idx="5">
                  <c:v>6.1285555924999997</c:v>
                </c:pt>
                <c:pt idx="6">
                  <c:v>5.8815359134999996</c:v>
                </c:pt>
                <c:pt idx="7">
                  <c:v>5.6345162346000004</c:v>
                </c:pt>
                <c:pt idx="8">
                  <c:v>5.3874965557000003</c:v>
                </c:pt>
                <c:pt idx="9">
                  <c:v>5.1404768768000002</c:v>
                </c:pt>
                <c:pt idx="10">
                  <c:v>4.8934571978000001</c:v>
                </c:pt>
                <c:pt idx="11">
                  <c:v>4.6464375189</c:v>
                </c:pt>
                <c:pt idx="12">
                  <c:v>4.3994178399999999</c:v>
                </c:pt>
                <c:pt idx="13">
                  <c:v>4.1523981609999998</c:v>
                </c:pt>
                <c:pt idx="14">
                  <c:v>3.9053784821000002</c:v>
                </c:pt>
                <c:pt idx="15">
                  <c:v>3.6583588032000001</c:v>
                </c:pt>
                <c:pt idx="16">
                  <c:v>3.4113391243</c:v>
                </c:pt>
                <c:pt idx="17">
                  <c:v>3.1643194452999999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528-4ED8-BC44-493713E15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25232"/>
        <c:axId val="1"/>
      </c:scatterChart>
      <c:catAx>
        <c:axId val="28302523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0252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287489063867021"/>
          <c:y val="0.14743962595127869"/>
          <c:w val="0.21045844269466318"/>
          <c:h val="0.6549328004853665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105</xdr:row>
      <xdr:rowOff>0</xdr:rowOff>
    </xdr:from>
    <xdr:to>
      <xdr:col>22</xdr:col>
      <xdr:colOff>308610</xdr:colOff>
      <xdr:row>122</xdr:row>
      <xdr:rowOff>53802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073C74C-C399-4DBA-B4A0-224F8F99D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0.09137</cdr:x>
      <cdr:y>0.54027</cdr:y>
    </cdr:from>
    <cdr:to>
      <cdr:x>0.16637</cdr:x>
      <cdr:y>0.606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418074" y="1568760"/>
          <a:ext cx="343186" cy="1908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0.08813</cdr:x>
      <cdr:y>0.68584</cdr:y>
    </cdr:from>
    <cdr:to>
      <cdr:x>0.16289</cdr:x>
      <cdr:y>0.75109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403267" y="1991470"/>
          <a:ext cx="342088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0.14294</cdr:x>
      <cdr:y>0.60077</cdr:y>
    </cdr:from>
    <cdr:to>
      <cdr:x>0.2177</cdr:x>
      <cdr:y>0.66625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654075" y="1744433"/>
          <a:ext cx="342088" cy="1901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0.16248</cdr:x>
      <cdr:y>0.72457</cdr:y>
    </cdr:from>
    <cdr:to>
      <cdr:x>0.23773</cdr:x>
      <cdr:y>0.79005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43489" y="2103909"/>
          <a:ext cx="344330" cy="1901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-0.168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0.31215</cdr:x>
      <cdr:y>0.68037</cdr:y>
    </cdr:from>
    <cdr:to>
      <cdr:x>0.38715</cdr:x>
      <cdr:y>0.74562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28348" y="1985934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0.24787</cdr:x>
      <cdr:y>0.42496</cdr:y>
    </cdr:from>
    <cdr:to>
      <cdr:x>0.32286</cdr:x>
      <cdr:y>0.4902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34215" y="1233951"/>
          <a:ext cx="343140" cy="1894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0.427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0.2879</cdr:x>
      <cdr:y>0.25044</cdr:y>
    </cdr:from>
    <cdr:to>
      <cdr:x>0.3629</cdr:x>
      <cdr:y>0.31568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17390" y="727210"/>
          <a:ext cx="343185" cy="1894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0.431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0.44629</cdr:x>
      <cdr:y>0.14925</cdr:y>
    </cdr:from>
    <cdr:to>
      <cdr:x>0.52129</cdr:x>
      <cdr:y>0.2145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042143" y="433383"/>
          <a:ext cx="343186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-0.243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0.52183</cdr:x>
      <cdr:y>0.45392</cdr:y>
    </cdr:from>
    <cdr:to>
      <cdr:x>0.59683</cdr:x>
      <cdr:y>0.51917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387776" y="1318027"/>
          <a:ext cx="343185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-0.201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0.31551</cdr:x>
      <cdr:y>0.10846</cdr:y>
    </cdr:from>
    <cdr:to>
      <cdr:x>0.39051</cdr:x>
      <cdr:y>0.17371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443715" y="314920"/>
          <a:ext cx="343186" cy="189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0.153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0.49189</cdr:x>
      <cdr:y>0.34579</cdr:y>
    </cdr:from>
    <cdr:to>
      <cdr:x>0.56689</cdr:x>
      <cdr:y>0.41104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250778" y="1004052"/>
          <a:ext cx="343186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-0.323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0.52183</cdr:x>
      <cdr:y>0.58877</cdr:y>
    </cdr:from>
    <cdr:to>
      <cdr:x>0.59683</cdr:x>
      <cdr:y>0.65402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387775" y="1709597"/>
          <a:ext cx="343185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-0.060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0.59228</cdr:x>
      <cdr:y>0.48729</cdr:y>
    </cdr:from>
    <cdr:to>
      <cdr:x>0.66728</cdr:x>
      <cdr:y>0.55254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2710159" y="1414923"/>
          <a:ext cx="343186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0.049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0.63225</cdr:x>
      <cdr:y>0.61252</cdr:y>
    </cdr:from>
    <cdr:to>
      <cdr:x>0.70725</cdr:x>
      <cdr:y>0.67777</cdr:y>
    </cdr:to>
    <cdr:sp macro="" textlink="">
      <cdr:nvSpPr>
        <cdr:cNvPr id="16" name="文字方塊 1">
          <a:extLst xmlns:a="http://schemas.openxmlformats.org/drawingml/2006/main">
            <a:ext uri="{FF2B5EF4-FFF2-40B4-BE49-F238E27FC236}">
              <a16:creationId xmlns:a16="http://schemas.microsoft.com/office/drawing/2014/main" id="{01426800-C24A-43DB-BEB7-2C2BE6FEAE5C}"/>
            </a:ext>
          </a:extLst>
        </cdr:cNvPr>
        <cdr:cNvSpPr txBox="1"/>
      </cdr:nvSpPr>
      <cdr:spPr>
        <a:xfrm xmlns:a="http://schemas.openxmlformats.org/drawingml/2006/main">
          <a:off x="2893076" y="1778576"/>
          <a:ext cx="343186" cy="189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0.085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0.65224</cdr:x>
      <cdr:y>0.39014</cdr:y>
    </cdr:from>
    <cdr:to>
      <cdr:x>0.72724</cdr:x>
      <cdr:y>0.45539</cdr:y>
    </cdr:to>
    <cdr:sp macro="" textlink="">
      <cdr:nvSpPr>
        <cdr:cNvPr id="17" name="文字方塊 1">
          <a:extLst xmlns:a="http://schemas.openxmlformats.org/drawingml/2006/main">
            <a:ext uri="{FF2B5EF4-FFF2-40B4-BE49-F238E27FC236}">
              <a16:creationId xmlns:a16="http://schemas.microsoft.com/office/drawing/2014/main" id="{83CECE2C-C70C-441E-AEF8-086D8AB86C84}"/>
            </a:ext>
          </a:extLst>
        </cdr:cNvPr>
        <cdr:cNvSpPr txBox="1"/>
      </cdr:nvSpPr>
      <cdr:spPr>
        <a:xfrm xmlns:a="http://schemas.openxmlformats.org/drawingml/2006/main">
          <a:off x="2984524" y="1132831"/>
          <a:ext cx="343186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chemeClr val="tx1">
                  <a:lumMod val="85000"/>
                  <a:lumOff val="15000"/>
                </a:schemeClr>
              </a:solidFill>
            </a:rPr>
            <a:t>0.163</a:t>
          </a:r>
          <a:endParaRPr lang="zh-TW" altLang="en-US" sz="700" b="0">
            <a:solidFill>
              <a:schemeClr val="tx1">
                <a:lumMod val="85000"/>
                <a:lumOff val="15000"/>
              </a:schemeClr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103</xdr:row>
      <xdr:rowOff>0</xdr:rowOff>
    </xdr:from>
    <xdr:to>
      <xdr:col>22</xdr:col>
      <xdr:colOff>308610</xdr:colOff>
      <xdr:row>118</xdr:row>
      <xdr:rowOff>46182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3F86DBE-3832-4C19-945E-0CEC90013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0.09137</cdr:x>
      <cdr:y>0.54027</cdr:y>
    </cdr:from>
    <cdr:to>
      <cdr:x>0.16637</cdr:x>
      <cdr:y>0.606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418074" y="1568760"/>
          <a:ext cx="343186" cy="1908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0.08813</cdr:x>
      <cdr:y>0.68584</cdr:y>
    </cdr:from>
    <cdr:to>
      <cdr:x>0.16289</cdr:x>
      <cdr:y>0.75109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403267" y="1991470"/>
          <a:ext cx="342088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0.14294</cdr:x>
      <cdr:y>0.60077</cdr:y>
    </cdr:from>
    <cdr:to>
      <cdr:x>0.2177</cdr:x>
      <cdr:y>0.66625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654075" y="1744433"/>
          <a:ext cx="342088" cy="1901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0.16248</cdr:x>
      <cdr:y>0.72457</cdr:y>
    </cdr:from>
    <cdr:to>
      <cdr:x>0.23773</cdr:x>
      <cdr:y>0.79005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43489" y="2103909"/>
          <a:ext cx="344330" cy="1901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-0.168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0.31215</cdr:x>
      <cdr:y>0.68037</cdr:y>
    </cdr:from>
    <cdr:to>
      <cdr:x>0.38715</cdr:x>
      <cdr:y>0.74562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28348" y="1985934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0.24787</cdr:x>
      <cdr:y>0.42496</cdr:y>
    </cdr:from>
    <cdr:to>
      <cdr:x>0.32286</cdr:x>
      <cdr:y>0.4902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34215" y="1233951"/>
          <a:ext cx="343140" cy="1894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0.427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0.2879</cdr:x>
      <cdr:y>0.25044</cdr:y>
    </cdr:from>
    <cdr:to>
      <cdr:x>0.3629</cdr:x>
      <cdr:y>0.31568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17390" y="727210"/>
          <a:ext cx="343185" cy="1894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0.431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0.44629</cdr:x>
      <cdr:y>0.14925</cdr:y>
    </cdr:from>
    <cdr:to>
      <cdr:x>0.52129</cdr:x>
      <cdr:y>0.2145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042143" y="433383"/>
          <a:ext cx="343186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-0.243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0.52183</cdr:x>
      <cdr:y>0.45392</cdr:y>
    </cdr:from>
    <cdr:to>
      <cdr:x>0.59683</cdr:x>
      <cdr:y>0.51917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387776" y="1318027"/>
          <a:ext cx="343185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-0.201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0.31551</cdr:x>
      <cdr:y>0.10846</cdr:y>
    </cdr:from>
    <cdr:to>
      <cdr:x>0.39051</cdr:x>
      <cdr:y>0.17371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443715" y="314920"/>
          <a:ext cx="343186" cy="189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0.153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0.49189</cdr:x>
      <cdr:y>0.34579</cdr:y>
    </cdr:from>
    <cdr:to>
      <cdr:x>0.56689</cdr:x>
      <cdr:y>0.41104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250778" y="1004052"/>
          <a:ext cx="343186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-0.323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0.52183</cdr:x>
      <cdr:y>0.58877</cdr:y>
    </cdr:from>
    <cdr:to>
      <cdr:x>0.59683</cdr:x>
      <cdr:y>0.65402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387775" y="1709597"/>
          <a:ext cx="343185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-0.060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0.59228</cdr:x>
      <cdr:y>0.48729</cdr:y>
    </cdr:from>
    <cdr:to>
      <cdr:x>0.66728</cdr:x>
      <cdr:y>0.55254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2710159" y="1414923"/>
          <a:ext cx="343186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0.049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0.63225</cdr:x>
      <cdr:y>0.61252</cdr:y>
    </cdr:from>
    <cdr:to>
      <cdr:x>0.70725</cdr:x>
      <cdr:y>0.67777</cdr:y>
    </cdr:to>
    <cdr:sp macro="" textlink="">
      <cdr:nvSpPr>
        <cdr:cNvPr id="16" name="文字方塊 1">
          <a:extLst xmlns:a="http://schemas.openxmlformats.org/drawingml/2006/main">
            <a:ext uri="{FF2B5EF4-FFF2-40B4-BE49-F238E27FC236}">
              <a16:creationId xmlns:a16="http://schemas.microsoft.com/office/drawing/2014/main" id="{01426800-C24A-43DB-BEB7-2C2BE6FEAE5C}"/>
            </a:ext>
          </a:extLst>
        </cdr:cNvPr>
        <cdr:cNvSpPr txBox="1"/>
      </cdr:nvSpPr>
      <cdr:spPr>
        <a:xfrm xmlns:a="http://schemas.openxmlformats.org/drawingml/2006/main">
          <a:off x="2893076" y="1778576"/>
          <a:ext cx="343186" cy="189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0.085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0.65557</cdr:x>
      <cdr:y>0.41113</cdr:y>
    </cdr:from>
    <cdr:to>
      <cdr:x>0.73057</cdr:x>
      <cdr:y>0.47638</cdr:y>
    </cdr:to>
    <cdr:sp macro="" textlink="">
      <cdr:nvSpPr>
        <cdr:cNvPr id="17" name="文字方塊 1">
          <a:extLst xmlns:a="http://schemas.openxmlformats.org/drawingml/2006/main">
            <a:ext uri="{FF2B5EF4-FFF2-40B4-BE49-F238E27FC236}">
              <a16:creationId xmlns:a16="http://schemas.microsoft.com/office/drawing/2014/main" id="{83CECE2C-C70C-441E-AEF8-086D8AB86C84}"/>
            </a:ext>
          </a:extLst>
        </cdr:cNvPr>
        <cdr:cNvSpPr txBox="1"/>
      </cdr:nvSpPr>
      <cdr:spPr>
        <a:xfrm xmlns:a="http://schemas.openxmlformats.org/drawingml/2006/main">
          <a:off x="2999743" y="1193788"/>
          <a:ext cx="343186" cy="189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chemeClr val="tx1">
                  <a:lumMod val="85000"/>
                  <a:lumOff val="15000"/>
                </a:schemeClr>
              </a:solidFill>
            </a:rPr>
            <a:t>0.112</a:t>
          </a:r>
          <a:endParaRPr lang="zh-TW" altLang="en-US" sz="700" b="0">
            <a:solidFill>
              <a:schemeClr val="tx1">
                <a:lumMod val="85000"/>
                <a:lumOff val="15000"/>
              </a:schemeClr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198120</xdr:colOff>
      <xdr:row>87</xdr:row>
      <xdr:rowOff>53340</xdr:rowOff>
    </xdr:from>
    <xdr:to>
      <xdr:col>21</xdr:col>
      <xdr:colOff>506730</xdr:colOff>
      <xdr:row>102</xdr:row>
      <xdr:rowOff>99522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966F346-5BDC-46DA-A70C-D6E6D16A3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0.09137</cdr:x>
      <cdr:y>0.54027</cdr:y>
    </cdr:from>
    <cdr:to>
      <cdr:x>0.16637</cdr:x>
      <cdr:y>0.606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418074" y="1568760"/>
          <a:ext cx="343186" cy="1908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0.08813</cdr:x>
      <cdr:y>0.68584</cdr:y>
    </cdr:from>
    <cdr:to>
      <cdr:x>0.16289</cdr:x>
      <cdr:y>0.75109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403267" y="1991470"/>
          <a:ext cx="342088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0.14294</cdr:x>
      <cdr:y>0.60077</cdr:y>
    </cdr:from>
    <cdr:to>
      <cdr:x>0.2177</cdr:x>
      <cdr:y>0.66625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654075" y="1744433"/>
          <a:ext cx="342088" cy="1901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0.16248</cdr:x>
      <cdr:y>0.72457</cdr:y>
    </cdr:from>
    <cdr:to>
      <cdr:x>0.23773</cdr:x>
      <cdr:y>0.79005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43489" y="2103909"/>
          <a:ext cx="344330" cy="1901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-0.168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0.31215</cdr:x>
      <cdr:y>0.68037</cdr:y>
    </cdr:from>
    <cdr:to>
      <cdr:x>0.38715</cdr:x>
      <cdr:y>0.74562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28348" y="1985934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0.24787</cdr:x>
      <cdr:y>0.42496</cdr:y>
    </cdr:from>
    <cdr:to>
      <cdr:x>0.32286</cdr:x>
      <cdr:y>0.4902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34215" y="1233951"/>
          <a:ext cx="343140" cy="1894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0.427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0.2879</cdr:x>
      <cdr:y>0.25044</cdr:y>
    </cdr:from>
    <cdr:to>
      <cdr:x>0.3629</cdr:x>
      <cdr:y>0.31568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17390" y="727210"/>
          <a:ext cx="343185" cy="1894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0.431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0.44629</cdr:x>
      <cdr:y>0.14925</cdr:y>
    </cdr:from>
    <cdr:to>
      <cdr:x>0.52129</cdr:x>
      <cdr:y>0.2145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042143" y="433383"/>
          <a:ext cx="343186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-0.243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0.52183</cdr:x>
      <cdr:y>0.45392</cdr:y>
    </cdr:from>
    <cdr:to>
      <cdr:x>0.59683</cdr:x>
      <cdr:y>0.51917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387776" y="1318027"/>
          <a:ext cx="343185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-0.201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0.31551</cdr:x>
      <cdr:y>0.10846</cdr:y>
    </cdr:from>
    <cdr:to>
      <cdr:x>0.39051</cdr:x>
      <cdr:y>0.17371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443715" y="314920"/>
          <a:ext cx="343186" cy="189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0.153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0.49189</cdr:x>
      <cdr:y>0.34579</cdr:y>
    </cdr:from>
    <cdr:to>
      <cdr:x>0.56689</cdr:x>
      <cdr:y>0.41104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250778" y="1004052"/>
          <a:ext cx="343186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-0.323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0.52183</cdr:x>
      <cdr:y>0.58877</cdr:y>
    </cdr:from>
    <cdr:to>
      <cdr:x>0.59683</cdr:x>
      <cdr:y>0.65402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387775" y="1709597"/>
          <a:ext cx="343185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-0.060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0.59228</cdr:x>
      <cdr:y>0.48729</cdr:y>
    </cdr:from>
    <cdr:to>
      <cdr:x>0.66728</cdr:x>
      <cdr:y>0.55254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2710159" y="1414923"/>
          <a:ext cx="343186" cy="189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0.049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0.63225</cdr:x>
      <cdr:y>0.61252</cdr:y>
    </cdr:from>
    <cdr:to>
      <cdr:x>0.70725</cdr:x>
      <cdr:y>0.67777</cdr:y>
    </cdr:to>
    <cdr:sp macro="" textlink="">
      <cdr:nvSpPr>
        <cdr:cNvPr id="16" name="文字方塊 1">
          <a:extLst xmlns:a="http://schemas.openxmlformats.org/drawingml/2006/main">
            <a:ext uri="{FF2B5EF4-FFF2-40B4-BE49-F238E27FC236}">
              <a16:creationId xmlns:a16="http://schemas.microsoft.com/office/drawing/2014/main" id="{01426800-C24A-43DB-BEB7-2C2BE6FEAE5C}"/>
            </a:ext>
          </a:extLst>
        </cdr:cNvPr>
        <cdr:cNvSpPr txBox="1"/>
      </cdr:nvSpPr>
      <cdr:spPr>
        <a:xfrm xmlns:a="http://schemas.openxmlformats.org/drawingml/2006/main">
          <a:off x="2893076" y="1778576"/>
          <a:ext cx="343186" cy="189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0.085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0.68221</cdr:x>
      <cdr:y>0.46099</cdr:y>
    </cdr:from>
    <cdr:to>
      <cdr:x>0.75721</cdr:x>
      <cdr:y>0.52624</cdr:y>
    </cdr:to>
    <cdr:sp macro="" textlink="">
      <cdr:nvSpPr>
        <cdr:cNvPr id="17" name="文字方塊 1">
          <a:extLst xmlns:a="http://schemas.openxmlformats.org/drawingml/2006/main">
            <a:ext uri="{FF2B5EF4-FFF2-40B4-BE49-F238E27FC236}">
              <a16:creationId xmlns:a16="http://schemas.microsoft.com/office/drawing/2014/main" id="{83CECE2C-C70C-441E-AEF8-086D8AB86C84}"/>
            </a:ext>
          </a:extLst>
        </cdr:cNvPr>
        <cdr:cNvSpPr txBox="1"/>
      </cdr:nvSpPr>
      <cdr:spPr>
        <a:xfrm xmlns:a="http://schemas.openxmlformats.org/drawingml/2006/main">
          <a:off x="3121660" y="1338580"/>
          <a:ext cx="343186" cy="189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chemeClr val="tx1">
                  <a:lumMod val="85000"/>
                  <a:lumOff val="15000"/>
                </a:schemeClr>
              </a:solidFill>
            </a:rPr>
            <a:t>0.019</a:t>
          </a:r>
          <a:endParaRPr lang="zh-TW" altLang="en-US" sz="700" b="0">
            <a:solidFill>
              <a:schemeClr val="tx1">
                <a:lumMod val="85000"/>
                <a:lumOff val="15000"/>
              </a:schemeClr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566057</xdr:colOff>
      <xdr:row>115</xdr:row>
      <xdr:rowOff>99060</xdr:rowOff>
    </xdr:from>
    <xdr:to>
      <xdr:col>23</xdr:col>
      <xdr:colOff>265067</xdr:colOff>
      <xdr:row>132</xdr:row>
      <xdr:rowOff>96256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A841E12-7225-482F-BB18-7376EA70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0.17747</cdr:x>
      <cdr:y>0.72719</cdr:y>
    </cdr:from>
    <cdr:to>
      <cdr:x>0.25272</cdr:x>
      <cdr:y>0.79267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812064" y="2122611"/>
          <a:ext cx="344330" cy="191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-0.168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0.31215</cdr:x>
      <cdr:y>0.68037</cdr:y>
    </cdr:from>
    <cdr:to>
      <cdr:x>0.38715</cdr:x>
      <cdr:y>0.74562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28348" y="1985934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0.26619</cdr:x>
      <cdr:y>0.3751</cdr:y>
    </cdr:from>
    <cdr:to>
      <cdr:x>0.34118</cdr:x>
      <cdr:y>0.44034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218044" y="1094881"/>
          <a:ext cx="343140" cy="190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0.427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0.29956</cdr:x>
      <cdr:y>0.24782</cdr:y>
    </cdr:from>
    <cdr:to>
      <cdr:x>0.37456</cdr:x>
      <cdr:y>0.31306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70750" y="723367"/>
          <a:ext cx="343186" cy="190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0.431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0.49958</cdr:x>
      <cdr:y>0.15975</cdr:y>
    </cdr:from>
    <cdr:to>
      <cdr:x>0.57458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286001" y="466298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-0.243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0.57678</cdr:x>
      <cdr:y>0.45654</cdr:y>
    </cdr:from>
    <cdr:to>
      <cdr:x>0.65178</cdr:x>
      <cdr:y>0.52179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639222" y="13326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-0.201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0.34382</cdr:x>
      <cdr:y>0.09271</cdr:y>
    </cdr:from>
    <cdr:to>
      <cdr:x>0.41882</cdr:x>
      <cdr:y>0.15796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573237" y="270613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0.153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0.54351</cdr:x>
      <cdr:y>0.34841</cdr:y>
    </cdr:from>
    <cdr:to>
      <cdr:x>0.61851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486989" y="1016982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-0.323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0.54847</cdr:x>
      <cdr:y>0.58352</cdr:y>
    </cdr:from>
    <cdr:to>
      <cdr:x>0.62347</cdr:x>
      <cdr:y>0.64877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509677" y="170324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-0.060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0.62392</cdr:x>
      <cdr:y>0.48991</cdr:y>
    </cdr:from>
    <cdr:to>
      <cdr:x>0.69892</cdr:x>
      <cdr:y>0.55516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2854960" y="14300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0.049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0.66556</cdr:x>
      <cdr:y>0.62827</cdr:y>
    </cdr:from>
    <cdr:to>
      <cdr:x>0.74056</cdr:x>
      <cdr:y>0.69352</cdr:y>
    </cdr:to>
    <cdr:sp macro="" textlink="">
      <cdr:nvSpPr>
        <cdr:cNvPr id="16" name="文字方塊 1">
          <a:extLst xmlns:a="http://schemas.openxmlformats.org/drawingml/2006/main">
            <a:ext uri="{FF2B5EF4-FFF2-40B4-BE49-F238E27FC236}">
              <a16:creationId xmlns:a16="http://schemas.microsoft.com/office/drawing/2014/main" id="{01426800-C24A-43DB-BEB7-2C2BE6FEAE5C}"/>
            </a:ext>
          </a:extLst>
        </cdr:cNvPr>
        <cdr:cNvSpPr txBox="1"/>
      </cdr:nvSpPr>
      <cdr:spPr>
        <a:xfrm xmlns:a="http://schemas.openxmlformats.org/drawingml/2006/main">
          <a:off x="3045460" y="1833880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0.065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160020</xdr:colOff>
      <xdr:row>88</xdr:row>
      <xdr:rowOff>160020</xdr:rowOff>
    </xdr:from>
    <xdr:to>
      <xdr:col>21</xdr:col>
      <xdr:colOff>468630</xdr:colOff>
      <xdr:row>106</xdr:row>
      <xdr:rowOff>61422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C2AFE55-88DE-4195-9607-ADCCAC28D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0.17747</cdr:x>
      <cdr:y>0.72719</cdr:y>
    </cdr:from>
    <cdr:to>
      <cdr:x>0.25272</cdr:x>
      <cdr:y>0.79267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812064" y="2122611"/>
          <a:ext cx="344330" cy="191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-0.168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0.31215</cdr:x>
      <cdr:y>0.68037</cdr:y>
    </cdr:from>
    <cdr:to>
      <cdr:x>0.38715</cdr:x>
      <cdr:y>0.74562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28348" y="1985934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0.26619</cdr:x>
      <cdr:y>0.3751</cdr:y>
    </cdr:from>
    <cdr:to>
      <cdr:x>0.34118</cdr:x>
      <cdr:y>0.44034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218044" y="1094881"/>
          <a:ext cx="343140" cy="190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0.427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0.29956</cdr:x>
      <cdr:y>0.24782</cdr:y>
    </cdr:from>
    <cdr:to>
      <cdr:x>0.37456</cdr:x>
      <cdr:y>0.31306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70750" y="723367"/>
          <a:ext cx="343186" cy="190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0.431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0.49958</cdr:x>
      <cdr:y>0.15975</cdr:y>
    </cdr:from>
    <cdr:to>
      <cdr:x>0.57458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286001" y="466298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-0.243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0.57678</cdr:x>
      <cdr:y>0.45654</cdr:y>
    </cdr:from>
    <cdr:to>
      <cdr:x>0.65178</cdr:x>
      <cdr:y>0.52179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639222" y="13326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-0.201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0.34382</cdr:x>
      <cdr:y>0.09271</cdr:y>
    </cdr:from>
    <cdr:to>
      <cdr:x>0.41882</cdr:x>
      <cdr:y>0.15796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573237" y="270613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0.153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0.54351</cdr:x>
      <cdr:y>0.34841</cdr:y>
    </cdr:from>
    <cdr:to>
      <cdr:x>0.61851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486989" y="1016982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-0.323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0.54847</cdr:x>
      <cdr:y>0.58352</cdr:y>
    </cdr:from>
    <cdr:to>
      <cdr:x>0.62347</cdr:x>
      <cdr:y>0.64877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509677" y="170324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-0.060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0.62392</cdr:x>
      <cdr:y>0.48991</cdr:y>
    </cdr:from>
    <cdr:to>
      <cdr:x>0.69892</cdr:x>
      <cdr:y>0.55516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2854960" y="14300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0.049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0.66556</cdr:x>
      <cdr:y>0.62827</cdr:y>
    </cdr:from>
    <cdr:to>
      <cdr:x>0.74056</cdr:x>
      <cdr:y>0.69352</cdr:y>
    </cdr:to>
    <cdr:sp macro="" textlink="">
      <cdr:nvSpPr>
        <cdr:cNvPr id="16" name="文字方塊 1">
          <a:extLst xmlns:a="http://schemas.openxmlformats.org/drawingml/2006/main">
            <a:ext uri="{FF2B5EF4-FFF2-40B4-BE49-F238E27FC236}">
              <a16:creationId xmlns:a16="http://schemas.microsoft.com/office/drawing/2014/main" id="{01426800-C24A-43DB-BEB7-2C2BE6FEAE5C}"/>
            </a:ext>
          </a:extLst>
        </cdr:cNvPr>
        <cdr:cNvSpPr txBox="1"/>
      </cdr:nvSpPr>
      <cdr:spPr>
        <a:xfrm xmlns:a="http://schemas.openxmlformats.org/drawingml/2006/main">
          <a:off x="3045460" y="1833880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0.061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43</xdr:row>
      <xdr:rowOff>15240</xdr:rowOff>
    </xdr:from>
    <xdr:to>
      <xdr:col>21</xdr:col>
      <xdr:colOff>194310</xdr:colOff>
      <xdr:row>58</xdr:row>
      <xdr:rowOff>76662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ED9A228-9B26-4869-8AEA-B23EF63CB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0.17747</cdr:x>
      <cdr:y>0.72719</cdr:y>
    </cdr:from>
    <cdr:to>
      <cdr:x>0.25272</cdr:x>
      <cdr:y>0.79267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812064" y="2122611"/>
          <a:ext cx="344330" cy="191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-0.168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0.31215</cdr:x>
      <cdr:y>0.68037</cdr:y>
    </cdr:from>
    <cdr:to>
      <cdr:x>0.38715</cdr:x>
      <cdr:y>0.74562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28348" y="1985934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0.26619</cdr:x>
      <cdr:y>0.3751</cdr:y>
    </cdr:from>
    <cdr:to>
      <cdr:x>0.34118</cdr:x>
      <cdr:y>0.44034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218044" y="1094881"/>
          <a:ext cx="343140" cy="190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0.427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0.29956</cdr:x>
      <cdr:y>0.24782</cdr:y>
    </cdr:from>
    <cdr:to>
      <cdr:x>0.37456</cdr:x>
      <cdr:y>0.31306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70750" y="723367"/>
          <a:ext cx="343186" cy="190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0.431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0.49958</cdr:x>
      <cdr:y>0.15975</cdr:y>
    </cdr:from>
    <cdr:to>
      <cdr:x>0.57458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286001" y="466298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-0.243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0.57678</cdr:x>
      <cdr:y>0.45654</cdr:y>
    </cdr:from>
    <cdr:to>
      <cdr:x>0.65178</cdr:x>
      <cdr:y>0.52179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639222" y="13326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-0.201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0.34382</cdr:x>
      <cdr:y>0.09271</cdr:y>
    </cdr:from>
    <cdr:to>
      <cdr:x>0.41882</cdr:x>
      <cdr:y>0.15796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573237" y="270613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0.153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0.54351</cdr:x>
      <cdr:y>0.34841</cdr:y>
    </cdr:from>
    <cdr:to>
      <cdr:x>0.61851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486989" y="1016982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-0.323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0.54847</cdr:x>
      <cdr:y>0.58352</cdr:y>
    </cdr:from>
    <cdr:to>
      <cdr:x>0.62347</cdr:x>
      <cdr:y>0.64877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509677" y="170324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-0.060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0.62392</cdr:x>
      <cdr:y>0.48991</cdr:y>
    </cdr:from>
    <cdr:to>
      <cdr:x>0.69892</cdr:x>
      <cdr:y>0.55516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2854960" y="14300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0.049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0.66556</cdr:x>
      <cdr:y>0.62827</cdr:y>
    </cdr:from>
    <cdr:to>
      <cdr:x>0.74056</cdr:x>
      <cdr:y>0.69352</cdr:y>
    </cdr:to>
    <cdr:sp macro="" textlink="">
      <cdr:nvSpPr>
        <cdr:cNvPr id="16" name="文字方塊 1">
          <a:extLst xmlns:a="http://schemas.openxmlformats.org/drawingml/2006/main">
            <a:ext uri="{FF2B5EF4-FFF2-40B4-BE49-F238E27FC236}">
              <a16:creationId xmlns:a16="http://schemas.microsoft.com/office/drawing/2014/main" id="{01426800-C24A-43DB-BEB7-2C2BE6FEAE5C}"/>
            </a:ext>
          </a:extLst>
        </cdr:cNvPr>
        <cdr:cNvSpPr txBox="1"/>
      </cdr:nvSpPr>
      <cdr:spPr>
        <a:xfrm xmlns:a="http://schemas.openxmlformats.org/drawingml/2006/main">
          <a:off x="3045460" y="1833880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0.084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556260</xdr:colOff>
      <xdr:row>43</xdr:row>
      <xdr:rowOff>0</xdr:rowOff>
    </xdr:from>
    <xdr:to>
      <xdr:col>21</xdr:col>
      <xdr:colOff>255270</xdr:colOff>
      <xdr:row>60</xdr:row>
      <xdr:rowOff>69042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637B4F-E076-40FB-BFB3-A6FDE36D4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0.18413</cdr:x>
      <cdr:y>0.72719</cdr:y>
    </cdr:from>
    <cdr:to>
      <cdr:x>0.25938</cdr:x>
      <cdr:y>0.79267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842539" y="2122609"/>
          <a:ext cx="344329" cy="191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-0.168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0.29716</cdr:x>
      <cdr:y>0.71691</cdr:y>
    </cdr:from>
    <cdr:to>
      <cdr:x>0.37216</cdr:x>
      <cdr:y>0.78216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59768" y="2092614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0.26619</cdr:x>
      <cdr:y>0.38293</cdr:y>
    </cdr:from>
    <cdr:to>
      <cdr:x>0.34118</cdr:x>
      <cdr:y>0.44817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218044" y="1117741"/>
          <a:ext cx="343140" cy="190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0.427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0.30456</cdr:x>
      <cdr:y>0.25043</cdr:y>
    </cdr:from>
    <cdr:to>
      <cdr:x>0.37956</cdr:x>
      <cdr:y>0.31567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93610" y="730987"/>
          <a:ext cx="343186" cy="190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0.431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0.49958</cdr:x>
      <cdr:y>0.15975</cdr:y>
    </cdr:from>
    <cdr:to>
      <cdr:x>0.57458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286001" y="466298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-0.243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0.57678</cdr:x>
      <cdr:y>0.45654</cdr:y>
    </cdr:from>
    <cdr:to>
      <cdr:x>0.65178</cdr:x>
      <cdr:y>0.52179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639222" y="13326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-0.201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0.33882</cdr:x>
      <cdr:y>0.10315</cdr:y>
    </cdr:from>
    <cdr:to>
      <cdr:x>0.41382</cdr:x>
      <cdr:y>0.1684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550377" y="301093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0.153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0.52186</cdr:x>
      <cdr:y>0.36929</cdr:y>
    </cdr:from>
    <cdr:to>
      <cdr:x>0.59686</cdr:x>
      <cdr:y>0.43454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387938" y="1077942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-0.323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0.54847</cdr:x>
      <cdr:y>0.58352</cdr:y>
    </cdr:from>
    <cdr:to>
      <cdr:x>0.62347</cdr:x>
      <cdr:y>0.64877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509677" y="170324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-0.0060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0.62392</cdr:x>
      <cdr:y>0.48991</cdr:y>
    </cdr:from>
    <cdr:to>
      <cdr:x>0.69892</cdr:x>
      <cdr:y>0.55516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2854960" y="14300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0.049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0.66556</cdr:x>
      <cdr:y>0.62827</cdr:y>
    </cdr:from>
    <cdr:to>
      <cdr:x>0.74056</cdr:x>
      <cdr:y>0.69352</cdr:y>
    </cdr:to>
    <cdr:sp macro="" textlink="">
      <cdr:nvSpPr>
        <cdr:cNvPr id="16" name="文字方塊 1">
          <a:extLst xmlns:a="http://schemas.openxmlformats.org/drawingml/2006/main">
            <a:ext uri="{FF2B5EF4-FFF2-40B4-BE49-F238E27FC236}">
              <a16:creationId xmlns:a16="http://schemas.microsoft.com/office/drawing/2014/main" id="{01426800-C24A-43DB-BEB7-2C2BE6FEAE5C}"/>
            </a:ext>
          </a:extLst>
        </cdr:cNvPr>
        <cdr:cNvSpPr txBox="1"/>
      </cdr:nvSpPr>
      <cdr:spPr>
        <a:xfrm xmlns:a="http://schemas.openxmlformats.org/drawingml/2006/main">
          <a:off x="3045460" y="1833880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0.086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90</xdr:row>
      <xdr:rowOff>129540</xdr:rowOff>
    </xdr:from>
    <xdr:to>
      <xdr:col>20</xdr:col>
      <xdr:colOff>422910</xdr:colOff>
      <xdr:row>106</xdr:row>
      <xdr:rowOff>462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3230C5C-0F3D-42A3-AE31-9C99DAA3A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0.18413</cdr:x>
      <cdr:y>0.72719</cdr:y>
    </cdr:from>
    <cdr:to>
      <cdr:x>0.25938</cdr:x>
      <cdr:y>0.79267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842539" y="2122609"/>
          <a:ext cx="344329" cy="191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0.33047</cdr:x>
      <cdr:y>0.65426</cdr:y>
    </cdr:from>
    <cdr:to>
      <cdr:x>0.40547</cdr:x>
      <cdr:y>0.71951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12184" y="1909732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0.28451</cdr:x>
      <cdr:y>0.38554</cdr:y>
    </cdr:from>
    <cdr:to>
      <cdr:x>0.3595</cdr:x>
      <cdr:y>0.45078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01841" y="1125360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0.33287</cdr:x>
      <cdr:y>0.24782</cdr:y>
    </cdr:from>
    <cdr:to>
      <cdr:x>0.40787</cdr:x>
      <cdr:y>0.31306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23140" y="723369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0.49958</cdr:x>
      <cdr:y>0.15975</cdr:y>
    </cdr:from>
    <cdr:to>
      <cdr:x>0.57458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286001" y="466298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0.57678</cdr:x>
      <cdr:y>0.45654</cdr:y>
    </cdr:from>
    <cdr:to>
      <cdr:x>0.65178</cdr:x>
      <cdr:y>0.52179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639222" y="13326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0.36713</cdr:x>
      <cdr:y>0.09271</cdr:y>
    </cdr:from>
    <cdr:to>
      <cdr:x>0.44213</cdr:x>
      <cdr:y>0.15796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679908" y="270623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0.54351</cdr:x>
      <cdr:y>0.34841</cdr:y>
    </cdr:from>
    <cdr:to>
      <cdr:x>0.61851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486989" y="1016982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0.54847</cdr:x>
      <cdr:y>0.58352</cdr:y>
    </cdr:from>
    <cdr:to>
      <cdr:x>0.62347</cdr:x>
      <cdr:y>0.64877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509677" y="170324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-0.065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0.62392</cdr:x>
      <cdr:y>0.48991</cdr:y>
    </cdr:from>
    <cdr:to>
      <cdr:x>0.69892</cdr:x>
      <cdr:y>0.55516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2854960" y="14300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0.077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  <cdr:relSizeAnchor xmlns:cdr="http://schemas.openxmlformats.org/drawingml/2006/chartDrawing">
    <cdr:from>
      <cdr:x>0.66556</cdr:x>
      <cdr:y>0.62827</cdr:y>
    </cdr:from>
    <cdr:to>
      <cdr:x>0.74056</cdr:x>
      <cdr:y>0.69352</cdr:y>
    </cdr:to>
    <cdr:sp macro="" textlink="">
      <cdr:nvSpPr>
        <cdr:cNvPr id="16" name="文字方塊 1">
          <a:extLst xmlns:a="http://schemas.openxmlformats.org/drawingml/2006/main">
            <a:ext uri="{FF2B5EF4-FFF2-40B4-BE49-F238E27FC236}">
              <a16:creationId xmlns:a16="http://schemas.microsoft.com/office/drawing/2014/main" id="{01426800-C24A-43DB-BEB7-2C2BE6FEAE5C}"/>
            </a:ext>
          </a:extLst>
        </cdr:cNvPr>
        <cdr:cNvSpPr txBox="1"/>
      </cdr:nvSpPr>
      <cdr:spPr>
        <a:xfrm xmlns:a="http://schemas.openxmlformats.org/drawingml/2006/main">
          <a:off x="3045460" y="1833880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0.085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100</xdr:row>
      <xdr:rowOff>0</xdr:rowOff>
    </xdr:from>
    <xdr:to>
      <xdr:col>20</xdr:col>
      <xdr:colOff>308610</xdr:colOff>
      <xdr:row>115</xdr:row>
      <xdr:rowOff>107142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4BD369B-342F-44A6-9971-C51C5AF52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0.18413</cdr:x>
      <cdr:y>0.72719</cdr:y>
    </cdr:from>
    <cdr:to>
      <cdr:x>0.25938</cdr:x>
      <cdr:y>0.79267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842539" y="2122609"/>
          <a:ext cx="344329" cy="191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0.33047</cdr:x>
      <cdr:y>0.65426</cdr:y>
    </cdr:from>
    <cdr:to>
      <cdr:x>0.40547</cdr:x>
      <cdr:y>0.71951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12184" y="1909732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0.28451</cdr:x>
      <cdr:y>0.38554</cdr:y>
    </cdr:from>
    <cdr:to>
      <cdr:x>0.3595</cdr:x>
      <cdr:y>0.45078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01841" y="1125360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0.33287</cdr:x>
      <cdr:y>0.24782</cdr:y>
    </cdr:from>
    <cdr:to>
      <cdr:x>0.40787</cdr:x>
      <cdr:y>0.31306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23140" y="723369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0.49958</cdr:x>
      <cdr:y>0.15975</cdr:y>
    </cdr:from>
    <cdr:to>
      <cdr:x>0.57458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286001" y="466298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0.57678</cdr:x>
      <cdr:y>0.45654</cdr:y>
    </cdr:from>
    <cdr:to>
      <cdr:x>0.65178</cdr:x>
      <cdr:y>0.52179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639222" y="13326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0.36713</cdr:x>
      <cdr:y>0.09271</cdr:y>
    </cdr:from>
    <cdr:to>
      <cdr:x>0.44213</cdr:x>
      <cdr:y>0.15796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679908" y="270623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0.54351</cdr:x>
      <cdr:y>0.34841</cdr:y>
    </cdr:from>
    <cdr:to>
      <cdr:x>0.61851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486989" y="1016982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0.57178</cdr:x>
      <cdr:y>0.58874</cdr:y>
    </cdr:from>
    <cdr:to>
      <cdr:x>0.64678</cdr:x>
      <cdr:y>0.65399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616350" y="1718480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-0.065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0.65723</cdr:x>
      <cdr:y>0.49513</cdr:y>
    </cdr:from>
    <cdr:to>
      <cdr:x>0.73223</cdr:x>
      <cdr:y>0.56038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3007360" y="1445260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-0.002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495300</xdr:colOff>
      <xdr:row>94</xdr:row>
      <xdr:rowOff>30480</xdr:rowOff>
    </xdr:from>
    <xdr:to>
      <xdr:col>20</xdr:col>
      <xdr:colOff>194310</xdr:colOff>
      <xdr:row>111</xdr:row>
      <xdr:rowOff>76662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E79445DD-550B-4471-9F8C-9F9A108A5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0.18413</cdr:x>
      <cdr:y>0.72719</cdr:y>
    </cdr:from>
    <cdr:to>
      <cdr:x>0.25938</cdr:x>
      <cdr:y>0.79267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842539" y="2122609"/>
          <a:ext cx="344329" cy="191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0.33047</cdr:x>
      <cdr:y>0.65426</cdr:y>
    </cdr:from>
    <cdr:to>
      <cdr:x>0.40547</cdr:x>
      <cdr:y>0.71951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12184" y="1909732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0.28451</cdr:x>
      <cdr:y>0.38554</cdr:y>
    </cdr:from>
    <cdr:to>
      <cdr:x>0.3595</cdr:x>
      <cdr:y>0.45078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01841" y="1125360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0.33287</cdr:x>
      <cdr:y>0.24782</cdr:y>
    </cdr:from>
    <cdr:to>
      <cdr:x>0.40787</cdr:x>
      <cdr:y>0.31306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23140" y="723369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0.49958</cdr:x>
      <cdr:y>0.15975</cdr:y>
    </cdr:from>
    <cdr:to>
      <cdr:x>0.57458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286001" y="466298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0.57678</cdr:x>
      <cdr:y>0.45654</cdr:y>
    </cdr:from>
    <cdr:to>
      <cdr:x>0.65178</cdr:x>
      <cdr:y>0.52179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639222" y="13326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0.36713</cdr:x>
      <cdr:y>0.09271</cdr:y>
    </cdr:from>
    <cdr:to>
      <cdr:x>0.44213</cdr:x>
      <cdr:y>0.15796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679908" y="270623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0.54351</cdr:x>
      <cdr:y>0.34841</cdr:y>
    </cdr:from>
    <cdr:to>
      <cdr:x>0.61851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486989" y="1016982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0.57178</cdr:x>
      <cdr:y>0.58874</cdr:y>
    </cdr:from>
    <cdr:to>
      <cdr:x>0.64678</cdr:x>
      <cdr:y>0.65399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616350" y="1718480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-0.065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0.65723</cdr:x>
      <cdr:y>0.49513</cdr:y>
    </cdr:from>
    <cdr:to>
      <cdr:x>0.73223</cdr:x>
      <cdr:y>0.56038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3007360" y="1445260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-0.024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434340</xdr:colOff>
      <xdr:row>79</xdr:row>
      <xdr:rowOff>129540</xdr:rowOff>
    </xdr:from>
    <xdr:to>
      <xdr:col>21</xdr:col>
      <xdr:colOff>133350</xdr:colOff>
      <xdr:row>95</xdr:row>
      <xdr:rowOff>462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BDD5AE0-90F1-4610-84A9-21ED8D788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0.18413</cdr:x>
      <cdr:y>0.72719</cdr:y>
    </cdr:from>
    <cdr:to>
      <cdr:x>0.25938</cdr:x>
      <cdr:y>0.79267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842539" y="2122609"/>
          <a:ext cx="344329" cy="191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0.33047</cdr:x>
      <cdr:y>0.65426</cdr:y>
    </cdr:from>
    <cdr:to>
      <cdr:x>0.40547</cdr:x>
      <cdr:y>0.71951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12184" y="1909732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0.28451</cdr:x>
      <cdr:y>0.38554</cdr:y>
    </cdr:from>
    <cdr:to>
      <cdr:x>0.3595</cdr:x>
      <cdr:y>0.45078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01841" y="1125360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0.33287</cdr:x>
      <cdr:y>0.24782</cdr:y>
    </cdr:from>
    <cdr:to>
      <cdr:x>0.40787</cdr:x>
      <cdr:y>0.31306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23140" y="723369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0.49958</cdr:x>
      <cdr:y>0.15975</cdr:y>
    </cdr:from>
    <cdr:to>
      <cdr:x>0.57458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286001" y="466298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0.57678</cdr:x>
      <cdr:y>0.45654</cdr:y>
    </cdr:from>
    <cdr:to>
      <cdr:x>0.65178</cdr:x>
      <cdr:y>0.52179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639222" y="13326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0.36713</cdr:x>
      <cdr:y>0.09271</cdr:y>
    </cdr:from>
    <cdr:to>
      <cdr:x>0.44213</cdr:x>
      <cdr:y>0.15796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679908" y="270623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0.54351</cdr:x>
      <cdr:y>0.34841</cdr:y>
    </cdr:from>
    <cdr:to>
      <cdr:x>0.61851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486989" y="1016982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0.57178</cdr:x>
      <cdr:y>0.58874</cdr:y>
    </cdr:from>
    <cdr:to>
      <cdr:x>0.64678</cdr:x>
      <cdr:y>0.65399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616350" y="1718480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-0.065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0.65723</cdr:x>
      <cdr:y>0.49513</cdr:y>
    </cdr:from>
    <cdr:to>
      <cdr:x>0.73223</cdr:x>
      <cdr:y>0.56038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3007360" y="1445260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-0.030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102</xdr:row>
      <xdr:rowOff>45720</xdr:rowOff>
    </xdr:from>
    <xdr:to>
      <xdr:col>16</xdr:col>
      <xdr:colOff>339090</xdr:colOff>
      <xdr:row>119</xdr:row>
      <xdr:rowOff>114762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F8286F0-C0A2-4205-8CEC-CED402785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0.18413</cdr:x>
      <cdr:y>0.72719</cdr:y>
    </cdr:from>
    <cdr:to>
      <cdr:x>0.25938</cdr:x>
      <cdr:y>0.79267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842539" y="2122609"/>
          <a:ext cx="344329" cy="191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0.33047</cdr:x>
      <cdr:y>0.65426</cdr:y>
    </cdr:from>
    <cdr:to>
      <cdr:x>0.40547</cdr:x>
      <cdr:y>0.71951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12184" y="1909732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0.28451</cdr:x>
      <cdr:y>0.38554</cdr:y>
    </cdr:from>
    <cdr:to>
      <cdr:x>0.3595</cdr:x>
      <cdr:y>0.45078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01841" y="1125360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0.33287</cdr:x>
      <cdr:y>0.24782</cdr:y>
    </cdr:from>
    <cdr:to>
      <cdr:x>0.40787</cdr:x>
      <cdr:y>0.31306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23140" y="723369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0.49958</cdr:x>
      <cdr:y>0.15975</cdr:y>
    </cdr:from>
    <cdr:to>
      <cdr:x>0.57458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286001" y="466298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0.57678</cdr:x>
      <cdr:y>0.45654</cdr:y>
    </cdr:from>
    <cdr:to>
      <cdr:x>0.65178</cdr:x>
      <cdr:y>0.52179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639222" y="13326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0.36713</cdr:x>
      <cdr:y>0.09271</cdr:y>
    </cdr:from>
    <cdr:to>
      <cdr:x>0.44213</cdr:x>
      <cdr:y>0.15796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679908" y="270623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0.54351</cdr:x>
      <cdr:y>0.34841</cdr:y>
    </cdr:from>
    <cdr:to>
      <cdr:x>0.61851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486989" y="1016982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0.57178</cdr:x>
      <cdr:y>0.58874</cdr:y>
    </cdr:from>
    <cdr:to>
      <cdr:x>0.64678</cdr:x>
      <cdr:y>0.65399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616350" y="1718480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-0.065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0.65723</cdr:x>
      <cdr:y>0.49513</cdr:y>
    </cdr:from>
    <cdr:to>
      <cdr:x>0.73223</cdr:x>
      <cdr:y>0.56038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3007360" y="1445260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0.011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96</xdr:row>
      <xdr:rowOff>0</xdr:rowOff>
    </xdr:from>
    <xdr:to>
      <xdr:col>21</xdr:col>
      <xdr:colOff>308610</xdr:colOff>
      <xdr:row>113</xdr:row>
      <xdr:rowOff>69042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ADCD915-E1E3-4725-8419-5B46FA727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0.18413</cdr:x>
      <cdr:y>0.72719</cdr:y>
    </cdr:from>
    <cdr:to>
      <cdr:x>0.25938</cdr:x>
      <cdr:y>0.79267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842539" y="2122609"/>
          <a:ext cx="344329" cy="191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0.33047</cdr:x>
      <cdr:y>0.65426</cdr:y>
    </cdr:from>
    <cdr:to>
      <cdr:x>0.40547</cdr:x>
      <cdr:y>0.71951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12184" y="1909732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0.28451</cdr:x>
      <cdr:y>0.38554</cdr:y>
    </cdr:from>
    <cdr:to>
      <cdr:x>0.3595</cdr:x>
      <cdr:y>0.45078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01841" y="1125360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0.33287</cdr:x>
      <cdr:y>0.24782</cdr:y>
    </cdr:from>
    <cdr:to>
      <cdr:x>0.40787</cdr:x>
      <cdr:y>0.31306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23140" y="723369"/>
          <a:ext cx="343185" cy="19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0.49958</cdr:x>
      <cdr:y>0.15975</cdr:y>
    </cdr:from>
    <cdr:to>
      <cdr:x>0.57458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286001" y="466298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0.57678</cdr:x>
      <cdr:y>0.45654</cdr:y>
    </cdr:from>
    <cdr:to>
      <cdr:x>0.65178</cdr:x>
      <cdr:y>0.52179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639222" y="1332606"/>
          <a:ext cx="343185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0.36713</cdr:x>
      <cdr:y>0.09271</cdr:y>
    </cdr:from>
    <cdr:to>
      <cdr:x>0.44213</cdr:x>
      <cdr:y>0.15796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679908" y="270623"/>
          <a:ext cx="343186" cy="190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0.54351</cdr:x>
      <cdr:y>0.34841</cdr:y>
    </cdr:from>
    <cdr:to>
      <cdr:x>0.61851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486989" y="1016982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0.57178</cdr:x>
      <cdr:y>0.58874</cdr:y>
    </cdr:from>
    <cdr:to>
      <cdr:x>0.64678</cdr:x>
      <cdr:y>0.65399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616350" y="1718480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-0.065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  <cdr:relSizeAnchor xmlns:cdr="http://schemas.openxmlformats.org/drawingml/2006/chartDrawing">
    <cdr:from>
      <cdr:x>0.65723</cdr:x>
      <cdr:y>0.49513</cdr:y>
    </cdr:from>
    <cdr:to>
      <cdr:x>0.73223</cdr:x>
      <cdr:y>0.56038</cdr:y>
    </cdr:to>
    <cdr:sp macro="" textlink="">
      <cdr:nvSpPr>
        <cdr:cNvPr id="15" name="文字方塊 1">
          <a:extLst xmlns:a="http://schemas.openxmlformats.org/drawingml/2006/main">
            <a:ext uri="{FF2B5EF4-FFF2-40B4-BE49-F238E27FC236}">
              <a16:creationId xmlns:a16="http://schemas.microsoft.com/office/drawing/2014/main" id="{B9479C0D-CBA4-45EE-B274-3F999052A708}"/>
            </a:ext>
          </a:extLst>
        </cdr:cNvPr>
        <cdr:cNvSpPr txBox="1"/>
      </cdr:nvSpPr>
      <cdr:spPr>
        <a:xfrm xmlns:a="http://schemas.openxmlformats.org/drawingml/2006/main">
          <a:off x="3007360" y="1445260"/>
          <a:ext cx="343186" cy="190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C000"/>
              </a:solidFill>
            </a:rPr>
            <a:t>0.079</a:t>
          </a:r>
          <a:endParaRPr lang="zh-TW" altLang="en-US" sz="700" b="0">
            <a:solidFill>
              <a:srgbClr val="FFC000"/>
            </a:solidFill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97</xdr:row>
      <xdr:rowOff>0</xdr:rowOff>
    </xdr:from>
    <xdr:to>
      <xdr:col>18</xdr:col>
      <xdr:colOff>308610</xdr:colOff>
      <xdr:row>112</xdr:row>
      <xdr:rowOff>152862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1106845-6B80-4398-9EE9-A70A7C62C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0.25074</cdr:x>
      <cdr:y>0.58883</cdr:y>
    </cdr:from>
    <cdr:to>
      <cdr:x>0.32599</cdr:x>
      <cdr:y>0.65431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48309" y="1785776"/>
          <a:ext cx="344616" cy="198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0.3388</cdr:x>
      <cdr:y>0.70386</cdr:y>
    </cdr:from>
    <cdr:to>
      <cdr:x>0.4138</cdr:x>
      <cdr:y>0.76911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51580" y="2134653"/>
          <a:ext cx="3434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0.31448</cdr:x>
      <cdr:y>0.38815</cdr:y>
    </cdr:from>
    <cdr:to>
      <cdr:x>0.38948</cdr:x>
      <cdr:y>0.45339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40194" y="1177177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0.34619</cdr:x>
      <cdr:y>0.24521</cdr:y>
    </cdr:from>
    <cdr:to>
      <cdr:x>0.42119</cdr:x>
      <cdr:y>0.31045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85426" y="743670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0.53622</cdr:x>
      <cdr:y>0.15975</cdr:y>
    </cdr:from>
    <cdr:to>
      <cdr:x>0.61122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455674" y="4844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0.62507</cdr:x>
      <cdr:y>0.45393</cdr:y>
    </cdr:from>
    <cdr:to>
      <cdr:x>0.70007</cdr:x>
      <cdr:y>0.51918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862568" y="1376673"/>
          <a:ext cx="343471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0.40876</cdr:x>
      <cdr:y>0.07705</cdr:y>
    </cdr:from>
    <cdr:to>
      <cdr:x>0.48376</cdr:x>
      <cdr:y>0.1423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871980" y="2336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0.58514</cdr:x>
      <cdr:y>0.34841</cdr:y>
    </cdr:from>
    <cdr:to>
      <cdr:x>0.66014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679700" y="105664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0.61008</cdr:x>
      <cdr:y>0.59918</cdr:y>
    </cdr:from>
    <cdr:to>
      <cdr:x>0.68508</cdr:x>
      <cdr:y>0.66443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791592" y="1763900"/>
          <a:ext cx="343186" cy="1920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-0.023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89</xdr:row>
      <xdr:rowOff>0</xdr:rowOff>
    </xdr:from>
    <xdr:to>
      <xdr:col>21</xdr:col>
      <xdr:colOff>308610</xdr:colOff>
      <xdr:row>104</xdr:row>
      <xdr:rowOff>61422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74ECEDC-AB4E-4664-A9C3-116B827AB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0.25074</cdr:x>
      <cdr:y>0.58883</cdr:y>
    </cdr:from>
    <cdr:to>
      <cdr:x>0.32599</cdr:x>
      <cdr:y>0.65431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48309" y="1785776"/>
          <a:ext cx="344616" cy="198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0.3388</cdr:x>
      <cdr:y>0.70386</cdr:y>
    </cdr:from>
    <cdr:to>
      <cdr:x>0.4138</cdr:x>
      <cdr:y>0.76911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51580" y="2134653"/>
          <a:ext cx="3434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0.31448</cdr:x>
      <cdr:y>0.38815</cdr:y>
    </cdr:from>
    <cdr:to>
      <cdr:x>0.38948</cdr:x>
      <cdr:y>0.45339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40194" y="1177177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0.34619</cdr:x>
      <cdr:y>0.24521</cdr:y>
    </cdr:from>
    <cdr:to>
      <cdr:x>0.42119</cdr:x>
      <cdr:y>0.31045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85426" y="743670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0.53622</cdr:x>
      <cdr:y>0.15975</cdr:y>
    </cdr:from>
    <cdr:to>
      <cdr:x>0.61122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455674" y="4844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0.62507</cdr:x>
      <cdr:y>0.45393</cdr:y>
    </cdr:from>
    <cdr:to>
      <cdr:x>0.70007</cdr:x>
      <cdr:y>0.51918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862568" y="1376673"/>
          <a:ext cx="343471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0.40876</cdr:x>
      <cdr:y>0.07705</cdr:y>
    </cdr:from>
    <cdr:to>
      <cdr:x>0.48376</cdr:x>
      <cdr:y>0.1423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871980" y="2336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0.58514</cdr:x>
      <cdr:y>0.34841</cdr:y>
    </cdr:from>
    <cdr:to>
      <cdr:x>0.66014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679700" y="105664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0.61008</cdr:x>
      <cdr:y>0.59918</cdr:y>
    </cdr:from>
    <cdr:to>
      <cdr:x>0.68508</cdr:x>
      <cdr:y>0.66443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791592" y="1763900"/>
          <a:ext cx="343186" cy="1920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0">
              <a:solidFill>
                <a:srgbClr val="FF9999"/>
              </a:solidFill>
            </a:rPr>
            <a:t>-0.033</a:t>
          </a:r>
          <a:endParaRPr lang="zh-TW" altLang="en-US" sz="700" b="0">
            <a:solidFill>
              <a:srgbClr val="FF9999"/>
            </a:solidFill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83</xdr:row>
      <xdr:rowOff>0</xdr:rowOff>
    </xdr:from>
    <xdr:to>
      <xdr:col>22</xdr:col>
      <xdr:colOff>308610</xdr:colOff>
      <xdr:row>98</xdr:row>
      <xdr:rowOff>61422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31E123D-9379-4A20-85EA-52EEBD406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0.25074</cdr:x>
      <cdr:y>0.58883</cdr:y>
    </cdr:from>
    <cdr:to>
      <cdr:x>0.32599</cdr:x>
      <cdr:y>0.65431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48309" y="1785776"/>
          <a:ext cx="344616" cy="198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0.3388</cdr:x>
      <cdr:y>0.70386</cdr:y>
    </cdr:from>
    <cdr:to>
      <cdr:x>0.4138</cdr:x>
      <cdr:y>0.76911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51580" y="2134653"/>
          <a:ext cx="3434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0.31448</cdr:x>
      <cdr:y>0.38815</cdr:y>
    </cdr:from>
    <cdr:to>
      <cdr:x>0.38948</cdr:x>
      <cdr:y>0.45339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40194" y="1177177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0.34619</cdr:x>
      <cdr:y>0.24521</cdr:y>
    </cdr:from>
    <cdr:to>
      <cdr:x>0.42119</cdr:x>
      <cdr:y>0.31045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85426" y="743670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0.53622</cdr:x>
      <cdr:y>0.15975</cdr:y>
    </cdr:from>
    <cdr:to>
      <cdr:x>0.61122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455674" y="4844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0.62507</cdr:x>
      <cdr:y>0.45393</cdr:y>
    </cdr:from>
    <cdr:to>
      <cdr:x>0.70007</cdr:x>
      <cdr:y>0.51918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862568" y="1376673"/>
          <a:ext cx="343471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0.40876</cdr:x>
      <cdr:y>0.07705</cdr:y>
    </cdr:from>
    <cdr:to>
      <cdr:x>0.48376</cdr:x>
      <cdr:y>0.1423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871980" y="2336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0.58514</cdr:x>
      <cdr:y>0.34841</cdr:y>
    </cdr:from>
    <cdr:to>
      <cdr:x>0.66014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679700" y="105664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0.61008</cdr:x>
      <cdr:y>0.59918</cdr:y>
    </cdr:from>
    <cdr:to>
      <cdr:x>0.68508</cdr:x>
      <cdr:y>0.66443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791592" y="1763900"/>
          <a:ext cx="343186" cy="1920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rgbClr val="FFCCCC"/>
              </a:solidFill>
            </a:rPr>
            <a:t>-0.046</a:t>
          </a:r>
          <a:endParaRPr lang="zh-TW" altLang="en-US" sz="700">
            <a:solidFill>
              <a:srgbClr val="FFCCCC"/>
            </a:solidFill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426720</xdr:colOff>
      <xdr:row>90</xdr:row>
      <xdr:rowOff>76200</xdr:rowOff>
    </xdr:from>
    <xdr:to>
      <xdr:col>21</xdr:col>
      <xdr:colOff>125730</xdr:colOff>
      <xdr:row>108</xdr:row>
      <xdr:rowOff>2540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69E7A89-703A-43A3-AA3E-E2BA14C5B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0.25074</cdr:x>
      <cdr:y>0.58883</cdr:y>
    </cdr:from>
    <cdr:to>
      <cdr:x>0.32599</cdr:x>
      <cdr:y>0.65431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48309" y="1785776"/>
          <a:ext cx="344616" cy="198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0.3388</cdr:x>
      <cdr:y>0.70386</cdr:y>
    </cdr:from>
    <cdr:to>
      <cdr:x>0.4138</cdr:x>
      <cdr:y>0.76911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51580" y="2134653"/>
          <a:ext cx="3434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0.31448</cdr:x>
      <cdr:y>0.38815</cdr:y>
    </cdr:from>
    <cdr:to>
      <cdr:x>0.38948</cdr:x>
      <cdr:y>0.45339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40194" y="1177177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0.34619</cdr:x>
      <cdr:y>0.24521</cdr:y>
    </cdr:from>
    <cdr:to>
      <cdr:x>0.42119</cdr:x>
      <cdr:y>0.31045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85426" y="743670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0.53622</cdr:x>
      <cdr:y>0.15975</cdr:y>
    </cdr:from>
    <cdr:to>
      <cdr:x>0.61122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455674" y="4844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0.62507</cdr:x>
      <cdr:y>0.45393</cdr:y>
    </cdr:from>
    <cdr:to>
      <cdr:x>0.70007</cdr:x>
      <cdr:y>0.51918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862568" y="1376673"/>
          <a:ext cx="343471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0.40876</cdr:x>
      <cdr:y>0.07705</cdr:y>
    </cdr:from>
    <cdr:to>
      <cdr:x>0.48376</cdr:x>
      <cdr:y>0.1423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871980" y="2336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0.58514</cdr:x>
      <cdr:y>0.34841</cdr:y>
    </cdr:from>
    <cdr:to>
      <cdr:x>0.66014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679700" y="105664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0.61008</cdr:x>
      <cdr:y>0.59918</cdr:y>
    </cdr:from>
    <cdr:to>
      <cdr:x>0.68508</cdr:x>
      <cdr:y>0.66443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791592" y="1763900"/>
          <a:ext cx="343186" cy="1920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rgbClr val="FFCCCC"/>
              </a:solidFill>
            </a:rPr>
            <a:t>-0.059</a:t>
          </a:r>
          <a:endParaRPr lang="zh-TW" altLang="en-US" sz="700">
            <a:solidFill>
              <a:srgbClr val="FFCCCC"/>
            </a:solidFill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172720</xdr:colOff>
      <xdr:row>100</xdr:row>
      <xdr:rowOff>67310</xdr:rowOff>
    </xdr:from>
    <xdr:to>
      <xdr:col>11</xdr:col>
      <xdr:colOff>500380</xdr:colOff>
      <xdr:row>118</xdr:row>
      <xdr:rowOff>39370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5F8B97-42FF-4480-A5D7-10ACB169B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0.25074</cdr:x>
      <cdr:y>0.58883</cdr:y>
    </cdr:from>
    <cdr:to>
      <cdr:x>0.32599</cdr:x>
      <cdr:y>0.65431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48309" y="1785776"/>
          <a:ext cx="344616" cy="198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0.3388</cdr:x>
      <cdr:y>0.70386</cdr:y>
    </cdr:from>
    <cdr:to>
      <cdr:x>0.4138</cdr:x>
      <cdr:y>0.76911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51580" y="2134653"/>
          <a:ext cx="3434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0.31448</cdr:x>
      <cdr:y>0.38815</cdr:y>
    </cdr:from>
    <cdr:to>
      <cdr:x>0.38948</cdr:x>
      <cdr:y>0.45339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40194" y="1177177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0.34619</cdr:x>
      <cdr:y>0.24521</cdr:y>
    </cdr:from>
    <cdr:to>
      <cdr:x>0.42119</cdr:x>
      <cdr:y>0.31045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85426" y="743670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0.53622</cdr:x>
      <cdr:y>0.15975</cdr:y>
    </cdr:from>
    <cdr:to>
      <cdr:x>0.61122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455674" y="4844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0.62507</cdr:x>
      <cdr:y>0.45393</cdr:y>
    </cdr:from>
    <cdr:to>
      <cdr:x>0.70007</cdr:x>
      <cdr:y>0.51918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862568" y="1376673"/>
          <a:ext cx="343471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0.40876</cdr:x>
      <cdr:y>0.07705</cdr:y>
    </cdr:from>
    <cdr:to>
      <cdr:x>0.48376</cdr:x>
      <cdr:y>0.1423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871980" y="2336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0.58514</cdr:x>
      <cdr:y>0.34841</cdr:y>
    </cdr:from>
    <cdr:to>
      <cdr:x>0.66014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679700" y="105664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0.63339</cdr:x>
      <cdr:y>0.5871</cdr:y>
    </cdr:from>
    <cdr:to>
      <cdr:x>0.70839</cdr:x>
      <cdr:y>0.65235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900680" y="1780540"/>
          <a:ext cx="343471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rgbClr val="FFCCCC"/>
              </a:solidFill>
            </a:rPr>
            <a:t>-0.067</a:t>
          </a:r>
          <a:endParaRPr lang="zh-TW" altLang="en-US" sz="700">
            <a:solidFill>
              <a:srgbClr val="FFCCCC"/>
            </a:solidFill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86</xdr:row>
      <xdr:rowOff>0</xdr:rowOff>
    </xdr:from>
    <xdr:to>
      <xdr:col>21</xdr:col>
      <xdr:colOff>464820</xdr:colOff>
      <xdr:row>104</xdr:row>
      <xdr:rowOff>15240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C9F8BBE-2B1C-4B3D-B7DA-F28331149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0.11644</cdr:x>
      <cdr:y>0.69634</cdr:y>
    </cdr:from>
    <cdr:to>
      <cdr:x>0.1912</cdr:x>
      <cdr:y>0.76159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33230" y="2111817"/>
          <a:ext cx="3423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0.023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0.16126</cdr:x>
      <cdr:y>0.60339</cdr:y>
    </cdr:from>
    <cdr:to>
      <cdr:x>0.23602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38526" y="1829937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-0.044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0.25074</cdr:x>
      <cdr:y>0.58883</cdr:y>
    </cdr:from>
    <cdr:to>
      <cdr:x>0.32599</cdr:x>
      <cdr:y>0.65431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48309" y="1785776"/>
          <a:ext cx="344616" cy="198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-0.170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0.3388</cdr:x>
      <cdr:y>0.70386</cdr:y>
    </cdr:from>
    <cdr:to>
      <cdr:x>0.4138</cdr:x>
      <cdr:y>0.76911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51580" y="2134653"/>
          <a:ext cx="343472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0.105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0.31448</cdr:x>
      <cdr:y>0.38815</cdr:y>
    </cdr:from>
    <cdr:to>
      <cdr:x>0.38948</cdr:x>
      <cdr:y>0.45339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40194" y="1177177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0.433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0.34619</cdr:x>
      <cdr:y>0.24521</cdr:y>
    </cdr:from>
    <cdr:to>
      <cdr:x>0.42119</cdr:x>
      <cdr:y>0.31045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85426" y="743670"/>
          <a:ext cx="343471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0.436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0.53622</cdr:x>
      <cdr:y>0.15975</cdr:y>
    </cdr:from>
    <cdr:to>
      <cdr:x>0.61122</cdr:x>
      <cdr:y>0.225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455674" y="4844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>
                  <a:lumMod val="75000"/>
                </a:schemeClr>
              </a:solidFill>
            </a:rPr>
            <a:t>-0.242</a:t>
          </a:r>
          <a:endParaRPr lang="zh-TW" altLang="en-US" sz="700">
            <a:solidFill>
              <a:schemeClr val="accent5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0.62507</cdr:x>
      <cdr:y>0.45393</cdr:y>
    </cdr:from>
    <cdr:to>
      <cdr:x>0.70007</cdr:x>
      <cdr:y>0.51918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862568" y="1376673"/>
          <a:ext cx="343471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-0.209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0.40876</cdr:x>
      <cdr:y>0.07705</cdr:y>
    </cdr:from>
    <cdr:to>
      <cdr:x>0.48376</cdr:x>
      <cdr:y>0.1423</cdr:y>
    </cdr:to>
    <cdr:sp macro="" textlink="">
      <cdr:nvSpPr>
        <cdr:cNvPr id="12" name="文字方塊 1">
          <a:extLst xmlns:a="http://schemas.openxmlformats.org/drawingml/2006/main">
            <a:ext uri="{FF2B5EF4-FFF2-40B4-BE49-F238E27FC236}">
              <a16:creationId xmlns:a16="http://schemas.microsoft.com/office/drawing/2014/main" id="{022BCA0A-6AF9-4B02-9A07-6B663C4A43A2}"/>
            </a:ext>
          </a:extLst>
        </cdr:cNvPr>
        <cdr:cNvSpPr txBox="1"/>
      </cdr:nvSpPr>
      <cdr:spPr>
        <a:xfrm xmlns:a="http://schemas.openxmlformats.org/drawingml/2006/main">
          <a:off x="1871980" y="23368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0.145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0.58514</cdr:x>
      <cdr:y>0.34841</cdr:y>
    </cdr:from>
    <cdr:to>
      <cdr:x>0.66014</cdr:x>
      <cdr:y>0.41366</cdr:y>
    </cdr:to>
    <cdr:sp macro="" textlink="">
      <cdr:nvSpPr>
        <cdr:cNvPr id="13" name="文字方塊 1">
          <a:extLst xmlns:a="http://schemas.openxmlformats.org/drawingml/2006/main">
            <a:ext uri="{FF2B5EF4-FFF2-40B4-BE49-F238E27FC236}">
              <a16:creationId xmlns:a16="http://schemas.microsoft.com/office/drawing/2014/main" id="{D57E5CC2-6718-4B59-A550-51E7E8A1C7B0}"/>
            </a:ext>
          </a:extLst>
        </cdr:cNvPr>
        <cdr:cNvSpPr txBox="1"/>
      </cdr:nvSpPr>
      <cdr:spPr>
        <a:xfrm xmlns:a="http://schemas.openxmlformats.org/drawingml/2006/main">
          <a:off x="2679700" y="1056640"/>
          <a:ext cx="343471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-0.330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0.63339</cdr:x>
      <cdr:y>0.5871</cdr:y>
    </cdr:from>
    <cdr:to>
      <cdr:x>0.70839</cdr:x>
      <cdr:y>0.65235</cdr:y>
    </cdr:to>
    <cdr:sp macro="" textlink="">
      <cdr:nvSpPr>
        <cdr:cNvPr id="14" name="文字方塊 1">
          <a:extLst xmlns:a="http://schemas.openxmlformats.org/drawingml/2006/main">
            <a:ext uri="{FF2B5EF4-FFF2-40B4-BE49-F238E27FC236}">
              <a16:creationId xmlns:a16="http://schemas.microsoft.com/office/drawing/2014/main" id="{5D626896-8C39-453E-A1C1-5613D3A6CF99}"/>
            </a:ext>
          </a:extLst>
        </cdr:cNvPr>
        <cdr:cNvSpPr txBox="1"/>
      </cdr:nvSpPr>
      <cdr:spPr>
        <a:xfrm xmlns:a="http://schemas.openxmlformats.org/drawingml/2006/main">
          <a:off x="2900680" y="1780540"/>
          <a:ext cx="343471" cy="197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rgbClr val="FFCCCC"/>
              </a:solidFill>
            </a:rPr>
            <a:t>-0.055</a:t>
          </a:r>
          <a:endParaRPr lang="zh-TW" altLang="en-US" sz="700">
            <a:solidFill>
              <a:srgbClr val="FFCCCC"/>
            </a:solidFill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60960</xdr:colOff>
      <xdr:row>63</xdr:row>
      <xdr:rowOff>30480</xdr:rowOff>
    </xdr:from>
    <xdr:to>
      <xdr:col>21</xdr:col>
      <xdr:colOff>373380</xdr:colOff>
      <xdr:row>81</xdr:row>
      <xdr:rowOff>45720</xdr:rowOff>
    </xdr:to>
    <xdr:graphicFrame macro="">
      <xdr:nvGraphicFramePr>
        <xdr:cNvPr id="3" name="圖表 1">
          <a:extLst>
            <a:ext uri="{FF2B5EF4-FFF2-40B4-BE49-F238E27FC236}">
              <a16:creationId xmlns:a16="http://schemas.microsoft.com/office/drawing/2014/main" id="{6CC53B3F-DE09-4CD1-8F5A-494B1FC30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0.16968</cdr:x>
      <cdr:y>0.59332</cdr:y>
    </cdr:from>
    <cdr:to>
      <cdr:x>0.24444</cdr:x>
      <cdr:y>0.65857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74700" y="17957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-0.019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0.24945</cdr:x>
      <cdr:y>0.60339</cdr:y>
    </cdr:from>
    <cdr:to>
      <cdr:x>0.32421</cdr:x>
      <cdr:y>0.66887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42406" y="1829946"/>
          <a:ext cx="342373" cy="19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-0.280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0.30066</cdr:x>
      <cdr:y>0.73707</cdr:y>
    </cdr:from>
    <cdr:to>
      <cdr:x>0.37591</cdr:x>
      <cdr:y>0.80255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376888" y="2235363"/>
          <a:ext cx="344616" cy="198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0.117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0.35544</cdr:x>
      <cdr:y>0.6109</cdr:y>
    </cdr:from>
    <cdr:to>
      <cdr:x>0.43044</cdr:x>
      <cdr:y>0.67615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627800" y="1852714"/>
          <a:ext cx="343472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0.364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0.32779</cdr:x>
      <cdr:y>0.34544</cdr:y>
    </cdr:from>
    <cdr:to>
      <cdr:x>0.40279</cdr:x>
      <cdr:y>0.41068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01156" y="1047635"/>
          <a:ext cx="343472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0.201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0.37115</cdr:x>
      <cdr:y>0.15476</cdr:y>
    </cdr:from>
    <cdr:to>
      <cdr:x>0.44615</cdr:x>
      <cdr:y>0.22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699733" y="469343"/>
          <a:ext cx="343472" cy="197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0.264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0.53289</cdr:x>
      <cdr:y>0.21</cdr:y>
    </cdr:from>
    <cdr:to>
      <cdr:x>0.60789</cdr:x>
      <cdr:y>0.27525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440435" y="636875"/>
          <a:ext cx="343472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-0.236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0.63505</cdr:x>
      <cdr:y>0.48911</cdr:y>
    </cdr:from>
    <cdr:to>
      <cdr:x>0.71005</cdr:x>
      <cdr:y>0.55436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329E814-615F-4788-9DD9-0499294E4B16}"/>
            </a:ext>
          </a:extLst>
        </cdr:cNvPr>
        <cdr:cNvSpPr txBox="1"/>
      </cdr:nvSpPr>
      <cdr:spPr>
        <a:xfrm xmlns:a="http://schemas.openxmlformats.org/drawingml/2006/main">
          <a:off x="2908300" y="1483360"/>
          <a:ext cx="343472" cy="197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60000"/>
                  <a:lumOff val="40000"/>
                </a:schemeClr>
              </a:solidFill>
            </a:rPr>
            <a:t>-0.066</a:t>
          </a:r>
          <a:endParaRPr lang="zh-TW" altLang="en-US" sz="7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67</xdr:row>
      <xdr:rowOff>0</xdr:rowOff>
    </xdr:from>
    <xdr:to>
      <xdr:col>16</xdr:col>
      <xdr:colOff>548640</xdr:colOff>
      <xdr:row>85</xdr:row>
      <xdr:rowOff>11430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E30D55B-D78B-4045-90C7-A6BA27242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0.055</cdr:x>
      <cdr:y>0.53208</cdr:y>
    </cdr:from>
    <cdr:to>
      <cdr:x>0.14833</cdr:x>
      <cdr:y>0.59497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732F386A-D046-4319-B354-6C39B1E3BAB4}"/>
            </a:ext>
          </a:extLst>
        </cdr:cNvPr>
        <cdr:cNvSpPr txBox="1"/>
      </cdr:nvSpPr>
      <cdr:spPr>
        <a:xfrm xmlns:a="http://schemas.openxmlformats.org/drawingml/2006/main">
          <a:off x="251460" y="161163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0.034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0.16611</cdr:x>
      <cdr:y>0.57778</cdr:y>
    </cdr:from>
    <cdr:to>
      <cdr:x>0.25944</cdr:x>
      <cdr:y>0.64067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759460" y="17500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-0.041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0.27944</cdr:x>
      <cdr:y>0.58532</cdr:y>
    </cdr:from>
    <cdr:to>
      <cdr:x>0.37278</cdr:x>
      <cdr:y>0.64822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1277620" y="177292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-0.069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0.34611</cdr:x>
      <cdr:y>0.4369</cdr:y>
    </cdr:from>
    <cdr:to>
      <cdr:x>0.43944</cdr:x>
      <cdr:y>0.49979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1582420" y="132334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0.428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0.42444</cdr:x>
      <cdr:y>0.1501</cdr:y>
    </cdr:from>
    <cdr:to>
      <cdr:x>0.51778</cdr:x>
      <cdr:y>0.213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1940560" y="4546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0.214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0.60944</cdr:x>
      <cdr:y>0.17526</cdr:y>
    </cdr:from>
    <cdr:to>
      <cdr:x>0.70278</cdr:x>
      <cdr:y>0.23816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2786380" y="5308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-0.279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0.68778</cdr:x>
      <cdr:y>0.43941</cdr:y>
    </cdr:from>
    <cdr:to>
      <cdr:x>0.78111</cdr:x>
      <cdr:y>0.50231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3144520" y="13309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-0.073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320040</xdr:colOff>
      <xdr:row>71</xdr:row>
      <xdr:rowOff>68580</xdr:rowOff>
    </xdr:from>
    <xdr:to>
      <xdr:col>19</xdr:col>
      <xdr:colOff>259080</xdr:colOff>
      <xdr:row>89</xdr:row>
      <xdr:rowOff>80010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262A3C6-C353-4474-AA04-6DC0F184A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0.055</cdr:x>
      <cdr:y>0.53208</cdr:y>
    </cdr:from>
    <cdr:to>
      <cdr:x>0.14833</cdr:x>
      <cdr:y>0.59497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732F386A-D046-4319-B354-6C39B1E3BAB4}"/>
            </a:ext>
          </a:extLst>
        </cdr:cNvPr>
        <cdr:cNvSpPr txBox="1"/>
      </cdr:nvSpPr>
      <cdr:spPr>
        <a:xfrm xmlns:a="http://schemas.openxmlformats.org/drawingml/2006/main">
          <a:off x="251460" y="161163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0.034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0.16611</cdr:x>
      <cdr:y>0.57778</cdr:y>
    </cdr:from>
    <cdr:to>
      <cdr:x>0.25944</cdr:x>
      <cdr:y>0.64067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759460" y="17500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-0.041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0.27944</cdr:x>
      <cdr:y>0.58532</cdr:y>
    </cdr:from>
    <cdr:to>
      <cdr:x>0.37278</cdr:x>
      <cdr:y>0.64822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1277620" y="177292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-0.069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0.34611</cdr:x>
      <cdr:y>0.4369</cdr:y>
    </cdr:from>
    <cdr:to>
      <cdr:x>0.43944</cdr:x>
      <cdr:y>0.49979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1582420" y="132334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0.428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0.42444</cdr:x>
      <cdr:y>0.1501</cdr:y>
    </cdr:from>
    <cdr:to>
      <cdr:x>0.51778</cdr:x>
      <cdr:y>0.213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1940560" y="4546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0.214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0.60944</cdr:x>
      <cdr:y>0.17526</cdr:y>
    </cdr:from>
    <cdr:to>
      <cdr:x>0.70278</cdr:x>
      <cdr:y>0.23816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2786380" y="5308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-0.279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0.68778</cdr:x>
      <cdr:y>0.43941</cdr:y>
    </cdr:from>
    <cdr:to>
      <cdr:x>0.78111</cdr:x>
      <cdr:y>0.50231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3144520" y="13309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-0.080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167640</xdr:colOff>
      <xdr:row>57</xdr:row>
      <xdr:rowOff>148590</xdr:rowOff>
    </xdr:from>
    <xdr:to>
      <xdr:col>20</xdr:col>
      <xdr:colOff>403860</xdr:colOff>
      <xdr:row>75</xdr:row>
      <xdr:rowOff>160020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8A11842-CE50-4167-931B-852A0F882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0.055</cdr:x>
      <cdr:y>0.53208</cdr:y>
    </cdr:from>
    <cdr:to>
      <cdr:x>0.14833</cdr:x>
      <cdr:y>0.59497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732F386A-D046-4319-B354-6C39B1E3BAB4}"/>
            </a:ext>
          </a:extLst>
        </cdr:cNvPr>
        <cdr:cNvSpPr txBox="1"/>
      </cdr:nvSpPr>
      <cdr:spPr>
        <a:xfrm xmlns:a="http://schemas.openxmlformats.org/drawingml/2006/main">
          <a:off x="251460" y="161163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0.034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0.16611</cdr:x>
      <cdr:y>0.57778</cdr:y>
    </cdr:from>
    <cdr:to>
      <cdr:x>0.25944</cdr:x>
      <cdr:y>0.64067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759460" y="17500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-0.041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0.27944</cdr:x>
      <cdr:y>0.58532</cdr:y>
    </cdr:from>
    <cdr:to>
      <cdr:x>0.37278</cdr:x>
      <cdr:y>0.64822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1277620" y="177292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-0.069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0.34611</cdr:x>
      <cdr:y>0.4369</cdr:y>
    </cdr:from>
    <cdr:to>
      <cdr:x>0.43944</cdr:x>
      <cdr:y>0.49979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1582420" y="132334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0.428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0.42444</cdr:x>
      <cdr:y>0.1501</cdr:y>
    </cdr:from>
    <cdr:to>
      <cdr:x>0.51778</cdr:x>
      <cdr:y>0.213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1940560" y="4546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0.214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0.60944</cdr:x>
      <cdr:y>0.17526</cdr:y>
    </cdr:from>
    <cdr:to>
      <cdr:x>0.70278</cdr:x>
      <cdr:y>0.23816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2786380" y="5308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-0.279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0.68778</cdr:x>
      <cdr:y>0.43941</cdr:y>
    </cdr:from>
    <cdr:to>
      <cdr:x>0.78111</cdr:x>
      <cdr:y>0.50231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412E9916-1882-4F83-91AD-6C7450BEC0FE}"/>
            </a:ext>
          </a:extLst>
        </cdr:cNvPr>
        <cdr:cNvSpPr txBox="1"/>
      </cdr:nvSpPr>
      <cdr:spPr>
        <a:xfrm xmlns:a="http://schemas.openxmlformats.org/drawingml/2006/main">
          <a:off x="3144520" y="1330960"/>
          <a:ext cx="42672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-0.090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464820</xdr:colOff>
      <xdr:row>89</xdr:row>
      <xdr:rowOff>0</xdr:rowOff>
    </xdr:from>
    <xdr:to>
      <xdr:col>18</xdr:col>
      <xdr:colOff>167640</xdr:colOff>
      <xdr:row>107</xdr:row>
      <xdr:rowOff>15240</xdr:rowOff>
    </xdr:to>
    <xdr:graphicFrame macro="">
      <xdr:nvGraphicFramePr>
        <xdr:cNvPr id="179203" name="圖表 1">
          <a:extLst>
            <a:ext uri="{FF2B5EF4-FFF2-40B4-BE49-F238E27FC236}">
              <a16:creationId xmlns:a16="http://schemas.microsoft.com/office/drawing/2014/main" id="{B707D4C6-6E66-4980-BB5A-035D380FF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0.05048</cdr:x>
      <cdr:y>0.50734</cdr:y>
    </cdr:from>
    <cdr:to>
      <cdr:x>0.12524</cdr:x>
      <cdr:y>0.57283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0.54289</cdr:y>
    </cdr:from>
    <cdr:to>
      <cdr:x>0.18968</cdr:x>
      <cdr:y>0.60862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0.16968</cdr:x>
      <cdr:y>0.59332</cdr:y>
    </cdr:from>
    <cdr:to>
      <cdr:x>0.24444</cdr:x>
      <cdr:y>0.65857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74700" y="17957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-0.019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0.25611</cdr:x>
      <cdr:y>0.58078</cdr:y>
    </cdr:from>
    <cdr:to>
      <cdr:x>0.33087</cdr:x>
      <cdr:y>0.64626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70940" y="17576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-0.280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0.32395</cdr:x>
      <cdr:y>0.74461</cdr:y>
    </cdr:from>
    <cdr:to>
      <cdr:x>0.3992</cdr:x>
      <cdr:y>0.81009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83360" y="22529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0.117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0.39205</cdr:x>
      <cdr:y>0.60085</cdr:y>
    </cdr:from>
    <cdr:to>
      <cdr:x>0.46705</cdr:x>
      <cdr:y>0.6661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795780" y="18186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0.364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0.33611</cdr:x>
      <cdr:y>0.36554</cdr:y>
    </cdr:from>
    <cdr:to>
      <cdr:x>0.41111</cdr:x>
      <cdr:y>0.43078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36700" y="11099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0.201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0.39611</cdr:x>
      <cdr:y>0.14722</cdr:y>
    </cdr:from>
    <cdr:to>
      <cdr:x>0.47111</cdr:x>
      <cdr:y>0.21246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811020" y="4470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0.264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0.60111</cdr:x>
      <cdr:y>0.17231</cdr:y>
    </cdr:from>
    <cdr:to>
      <cdr:x>0.67611</cdr:x>
      <cdr:y>0.23756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748280" y="5232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-0.228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289560</xdr:colOff>
      <xdr:row>78</xdr:row>
      <xdr:rowOff>30480</xdr:rowOff>
    </xdr:from>
    <xdr:to>
      <xdr:col>12</xdr:col>
      <xdr:colOff>601980</xdr:colOff>
      <xdr:row>95</xdr:row>
      <xdr:rowOff>152400</xdr:rowOff>
    </xdr:to>
    <xdr:graphicFrame macro="">
      <xdr:nvGraphicFramePr>
        <xdr:cNvPr id="30745" name="圖表 1">
          <a:extLst>
            <a:ext uri="{FF2B5EF4-FFF2-40B4-BE49-F238E27FC236}">
              <a16:creationId xmlns:a16="http://schemas.microsoft.com/office/drawing/2014/main" id="{36571BED-EAF6-4C53-8E85-B0A079683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579120</xdr:colOff>
      <xdr:row>74</xdr:row>
      <xdr:rowOff>15240</xdr:rowOff>
    </xdr:from>
    <xdr:to>
      <xdr:col>36</xdr:col>
      <xdr:colOff>883920</xdr:colOff>
      <xdr:row>92</xdr:row>
      <xdr:rowOff>53340</xdr:rowOff>
    </xdr:to>
    <xdr:graphicFrame macro="">
      <xdr:nvGraphicFramePr>
        <xdr:cNvPr id="30746" name="圖表 3">
          <a:extLst>
            <a:ext uri="{FF2B5EF4-FFF2-40B4-BE49-F238E27FC236}">
              <a16:creationId xmlns:a16="http://schemas.microsoft.com/office/drawing/2014/main" id="{5A8C2E4A-E57E-45F3-A1BE-1C3D3E8AA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0</xdr:colOff>
      <xdr:row>95</xdr:row>
      <xdr:rowOff>0</xdr:rowOff>
    </xdr:from>
    <xdr:to>
      <xdr:col>36</xdr:col>
      <xdr:colOff>304800</xdr:colOff>
      <xdr:row>113</xdr:row>
      <xdr:rowOff>38100</xdr:rowOff>
    </xdr:to>
    <xdr:graphicFrame macro="">
      <xdr:nvGraphicFramePr>
        <xdr:cNvPr id="30747" name="圖表 3">
          <a:extLst>
            <a:ext uri="{FF2B5EF4-FFF2-40B4-BE49-F238E27FC236}">
              <a16:creationId xmlns:a16="http://schemas.microsoft.com/office/drawing/2014/main" id="{44AE4C2B-40C7-4BAE-BFB1-8280B2195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0.0512</cdr:x>
      <cdr:y>0.50443</cdr:y>
    </cdr:from>
    <cdr:to>
      <cdr:x>0.12524</cdr:x>
      <cdr:y>0.56824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0.11468</cdr:x>
      <cdr:y>0.53902</cdr:y>
    </cdr:from>
    <cdr:to>
      <cdr:x>0.18968</cdr:x>
      <cdr:y>0.60307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0.16968</cdr:x>
      <cdr:y>0.58825</cdr:y>
    </cdr:from>
    <cdr:to>
      <cdr:x>0.24444</cdr:x>
      <cdr:y>0.65181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74700" y="17957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-0.019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0.25611</cdr:x>
      <cdr:y>0.57595</cdr:y>
    </cdr:from>
    <cdr:to>
      <cdr:x>0.33015</cdr:x>
      <cdr:y>0.63975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70940" y="17576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-0.280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0.32323</cdr:x>
      <cdr:y>0.73591</cdr:y>
    </cdr:from>
    <cdr:to>
      <cdr:x>0.39823</cdr:x>
      <cdr:y>0.79995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83360" y="22529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0.117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0.39108</cdr:x>
      <cdr:y>0.5953</cdr:y>
    </cdr:from>
    <cdr:to>
      <cdr:x>0.46558</cdr:x>
      <cdr:y>0.65909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795780" y="18186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0.364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0.33611</cdr:x>
      <cdr:y>0.36554</cdr:y>
    </cdr:from>
    <cdr:to>
      <cdr:x>0.41111</cdr:x>
      <cdr:y>0.43078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36700" y="11099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0.201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0.39489</cdr:x>
      <cdr:y>0.15325</cdr:y>
    </cdr:from>
    <cdr:to>
      <cdr:x>0.4694</cdr:x>
      <cdr:y>0.21705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811020" y="4470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0.264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0.59867</cdr:x>
      <cdr:y>0.1781</cdr:y>
    </cdr:from>
    <cdr:to>
      <cdr:x>0.67317</cdr:x>
      <cdr:y>0.24167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748280" y="5232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-0.237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0.06953</cdr:x>
      <cdr:y>0.66694</cdr:y>
    </cdr:from>
    <cdr:to>
      <cdr:x>0.15</cdr:x>
      <cdr:y>0.73236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6C5AB1A9-A5E9-45DD-AF5C-9B21FCF2A2FF}"/>
            </a:ext>
          </a:extLst>
        </cdr:cNvPr>
        <cdr:cNvSpPr txBox="1"/>
      </cdr:nvSpPr>
      <cdr:spPr>
        <a:xfrm xmlns:a="http://schemas.openxmlformats.org/drawingml/2006/main">
          <a:off x="312420" y="202311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0.170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0.11898</cdr:x>
      <cdr:y>0.75818</cdr:y>
    </cdr:from>
    <cdr:to>
      <cdr:x>0.2004</cdr:x>
      <cdr:y>0.82311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538480" y="229870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0.122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0.16635</cdr:x>
      <cdr:y>0.62679</cdr:y>
    </cdr:from>
    <cdr:to>
      <cdr:x>0.24802</cdr:x>
      <cdr:y>0.69196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759460" y="189484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0.152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0.23111</cdr:x>
      <cdr:y>0.60894</cdr:y>
    </cdr:from>
    <cdr:to>
      <cdr:x>0.31278</cdr:x>
      <cdr:y>0.67435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1056640" y="184150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0.157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0.32611</cdr:x>
      <cdr:y>0.54328</cdr:y>
    </cdr:from>
    <cdr:to>
      <cdr:x>0.40754</cdr:x>
      <cdr:y>0.60894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1490980" y="164338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0.251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0.38278</cdr:x>
      <cdr:y>0.46709</cdr:y>
    </cdr:from>
    <cdr:to>
      <cdr:x>0.46444</cdr:x>
      <cdr:y>0.53249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1750060" y="141478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0.507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0.45278</cdr:x>
      <cdr:y>0.33375</cdr:y>
    </cdr:from>
    <cdr:to>
      <cdr:x>0.53444</cdr:x>
      <cdr:y>0.39916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2070100" y="101092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0.663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0.53111</cdr:x>
      <cdr:y>0.18029</cdr:y>
    </cdr:from>
    <cdr:to>
      <cdr:x>0.61278</cdr:x>
      <cdr:y>0.2457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2428240" y="54610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>
                  <a:lumMod val="50000"/>
                </a:schemeClr>
              </a:solidFill>
            </a:rPr>
            <a:t>0.368</a:t>
          </a:r>
          <a:endParaRPr lang="zh-TW" altLang="en-US" sz="8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0.62611</cdr:x>
      <cdr:y>0.08973</cdr:y>
    </cdr:from>
    <cdr:to>
      <cdr:x>0.70778</cdr:x>
      <cdr:y>0.15514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2862580" y="27178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>
                  <a:lumMod val="50000"/>
                </a:schemeClr>
              </a:solidFill>
            </a:rPr>
            <a:t>0.238</a:t>
          </a:r>
          <a:endParaRPr lang="zh-TW" altLang="en-US" sz="800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0.06953</cdr:x>
      <cdr:y>0.66694</cdr:y>
    </cdr:from>
    <cdr:to>
      <cdr:x>0.15024</cdr:x>
      <cdr:y>0.73236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6C5AB1A9-A5E9-45DD-AF5C-9B21FCF2A2FF}"/>
            </a:ext>
          </a:extLst>
        </cdr:cNvPr>
        <cdr:cNvSpPr txBox="1"/>
      </cdr:nvSpPr>
      <cdr:spPr>
        <a:xfrm xmlns:a="http://schemas.openxmlformats.org/drawingml/2006/main">
          <a:off x="312420" y="202311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0.170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0.1185</cdr:x>
      <cdr:y>0.75818</cdr:y>
    </cdr:from>
    <cdr:to>
      <cdr:x>0.19944</cdr:x>
      <cdr:y>0.82311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538480" y="229870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0.122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0.16659</cdr:x>
      <cdr:y>0.62679</cdr:y>
    </cdr:from>
    <cdr:to>
      <cdr:x>0.24802</cdr:x>
      <cdr:y>0.69196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759460" y="189484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0.152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0.23111</cdr:x>
      <cdr:y>0.60894</cdr:y>
    </cdr:from>
    <cdr:to>
      <cdr:x>0.31278</cdr:x>
      <cdr:y>0.67435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1056640" y="184150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0.157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0.32611</cdr:x>
      <cdr:y>0.54328</cdr:y>
    </cdr:from>
    <cdr:to>
      <cdr:x>0.40754</cdr:x>
      <cdr:y>0.60894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1490980" y="164338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0.251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0.38278</cdr:x>
      <cdr:y>0.46709</cdr:y>
    </cdr:from>
    <cdr:to>
      <cdr:x>0.46444</cdr:x>
      <cdr:y>0.53249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1750060" y="141478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0.507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0.45278</cdr:x>
      <cdr:y>0.33375</cdr:y>
    </cdr:from>
    <cdr:to>
      <cdr:x>0.53444</cdr:x>
      <cdr:y>0.39916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2070100" y="101092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0.663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0.53111</cdr:x>
      <cdr:y>0.18029</cdr:y>
    </cdr:from>
    <cdr:to>
      <cdr:x>0.61278</cdr:x>
      <cdr:y>0.2457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2428240" y="546100"/>
          <a:ext cx="3733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>
                  <a:lumMod val="50000"/>
                </a:schemeClr>
              </a:solidFill>
            </a:rPr>
            <a:t>0.368</a:t>
          </a:r>
          <a:endParaRPr lang="zh-TW" altLang="en-US" sz="8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0.61094</cdr:x>
      <cdr:y>0.08973</cdr:y>
    </cdr:from>
    <cdr:to>
      <cdr:x>0.69261</cdr:x>
      <cdr:y>0.15514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F0CE8C4B-EA45-4CB6-83B5-3186573118A7}"/>
            </a:ext>
          </a:extLst>
        </cdr:cNvPr>
        <cdr:cNvSpPr txBox="1"/>
      </cdr:nvSpPr>
      <cdr:spPr>
        <a:xfrm xmlns:a="http://schemas.openxmlformats.org/drawingml/2006/main">
          <a:off x="2788964" y="271943"/>
          <a:ext cx="372830" cy="1982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>
                  <a:lumMod val="50000"/>
                </a:schemeClr>
              </a:solidFill>
            </a:rPr>
            <a:t>0.286</a:t>
          </a:r>
          <a:endParaRPr lang="zh-TW" altLang="en-US" sz="800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0.68184</cdr:x>
      <cdr:y>0.03962</cdr:y>
    </cdr:from>
    <cdr:to>
      <cdr:x>0.76351</cdr:x>
      <cdr:y>0.10503</cdr:y>
    </cdr:to>
    <cdr:sp macro="" textlink="">
      <cdr:nvSpPr>
        <cdr:cNvPr id="11" name="文字方塊 1">
          <a:extLst xmlns:a="http://schemas.openxmlformats.org/drawingml/2006/main">
            <a:ext uri="{FF2B5EF4-FFF2-40B4-BE49-F238E27FC236}">
              <a16:creationId xmlns:a16="http://schemas.microsoft.com/office/drawing/2014/main" id="{D5DA0F21-34AB-401B-87C3-8211B3557B52}"/>
            </a:ext>
          </a:extLst>
        </cdr:cNvPr>
        <cdr:cNvSpPr txBox="1"/>
      </cdr:nvSpPr>
      <cdr:spPr>
        <a:xfrm xmlns:a="http://schemas.openxmlformats.org/drawingml/2006/main">
          <a:off x="3112655" y="120072"/>
          <a:ext cx="372830" cy="1982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60000"/>
                  <a:lumOff val="40000"/>
                </a:schemeClr>
              </a:solidFill>
            </a:rPr>
            <a:t>0.351</a:t>
          </a:r>
          <a:endParaRPr lang="zh-TW" altLang="en-US" sz="8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75</xdr:row>
      <xdr:rowOff>0</xdr:rowOff>
    </xdr:from>
    <xdr:to>
      <xdr:col>21</xdr:col>
      <xdr:colOff>304800</xdr:colOff>
      <xdr:row>93</xdr:row>
      <xdr:rowOff>15240</xdr:rowOff>
    </xdr:to>
    <xdr:graphicFrame macro="">
      <xdr:nvGraphicFramePr>
        <xdr:cNvPr id="4158" name="圖表 1">
          <a:extLst>
            <a:ext uri="{FF2B5EF4-FFF2-40B4-BE49-F238E27FC236}">
              <a16:creationId xmlns:a16="http://schemas.microsoft.com/office/drawing/2014/main" id="{19C6E4F1-4FA8-4D33-BD71-50B3E9C90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0.05</cdr:x>
      <cdr:y>0.50565</cdr:y>
    </cdr:from>
    <cdr:to>
      <cdr:x>0.125</cdr:x>
      <cdr:y>0.57089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0.11444</cdr:x>
      <cdr:y>0.5412</cdr:y>
    </cdr:from>
    <cdr:to>
      <cdr:x>0.18944</cdr:x>
      <cdr:y>0.60644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0.16944</cdr:x>
      <cdr:y>0.59138</cdr:y>
    </cdr:from>
    <cdr:to>
      <cdr:x>0.24444</cdr:x>
      <cdr:y>0.65663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74700" y="17957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-0.019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0.25611</cdr:x>
      <cdr:y>0.57884</cdr:y>
    </cdr:from>
    <cdr:to>
      <cdr:x>0.33111</cdr:x>
      <cdr:y>0.64408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70940" y="17576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-0.280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0.32444</cdr:x>
      <cdr:y>0.74195</cdr:y>
    </cdr:from>
    <cdr:to>
      <cdr:x>0.39944</cdr:x>
      <cdr:y>0.80719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83360" y="22529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0.117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0.39278</cdr:x>
      <cdr:y>0.59891</cdr:y>
    </cdr:from>
    <cdr:to>
      <cdr:x>0.46778</cdr:x>
      <cdr:y>0.66416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795780" y="18186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0.364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0.33611</cdr:x>
      <cdr:y>0.36554</cdr:y>
    </cdr:from>
    <cdr:to>
      <cdr:x>0.41111</cdr:x>
      <cdr:y>0.43078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36700" y="11099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0.201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0.39611</cdr:x>
      <cdr:y>0.14722</cdr:y>
    </cdr:from>
    <cdr:to>
      <cdr:x>0.47111</cdr:x>
      <cdr:y>0.21246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811020" y="4470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0.264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0.60111</cdr:x>
      <cdr:y>0.17231</cdr:y>
    </cdr:from>
    <cdr:to>
      <cdr:x>0.67611</cdr:x>
      <cdr:y>0.23756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748280" y="5232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-0.243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1295400</xdr:colOff>
      <xdr:row>60</xdr:row>
      <xdr:rowOff>45720</xdr:rowOff>
    </xdr:from>
    <xdr:to>
      <xdr:col>14</xdr:col>
      <xdr:colOff>198120</xdr:colOff>
      <xdr:row>78</xdr:row>
      <xdr:rowOff>60960</xdr:rowOff>
    </xdr:to>
    <xdr:graphicFrame macro="">
      <xdr:nvGraphicFramePr>
        <xdr:cNvPr id="1052" name="圖表 1">
          <a:extLst>
            <a:ext uri="{FF2B5EF4-FFF2-40B4-BE49-F238E27FC236}">
              <a16:creationId xmlns:a16="http://schemas.microsoft.com/office/drawing/2014/main" id="{F6C6F9C0-34BB-4CB7-9FC0-A244BC33C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0.05</cdr:x>
      <cdr:y>0.50565</cdr:y>
    </cdr:from>
    <cdr:to>
      <cdr:x>0.125</cdr:x>
      <cdr:y>0.57089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73F996C-1EE6-4265-AFA1-DE3AE674677E}"/>
            </a:ext>
          </a:extLst>
        </cdr:cNvPr>
        <cdr:cNvSpPr txBox="1"/>
      </cdr:nvSpPr>
      <cdr:spPr>
        <a:xfrm xmlns:a="http://schemas.openxmlformats.org/drawingml/2006/main">
          <a:off x="228600" y="153543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0.123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0.11444</cdr:x>
      <cdr:y>0.5412</cdr:y>
    </cdr:from>
    <cdr:to>
      <cdr:x>0.18944</cdr:x>
      <cdr:y>0.60644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523240" y="16433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-0.076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0.16944</cdr:x>
      <cdr:y>0.59138</cdr:y>
    </cdr:from>
    <cdr:to>
      <cdr:x>0.24444</cdr:x>
      <cdr:y>0.65663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774700" y="17957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-0.019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0.25611</cdr:x>
      <cdr:y>0.57884</cdr:y>
    </cdr:from>
    <cdr:to>
      <cdr:x>0.33111</cdr:x>
      <cdr:y>0.64408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170940" y="17576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-0.280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0.32444</cdr:x>
      <cdr:y>0.74195</cdr:y>
    </cdr:from>
    <cdr:to>
      <cdr:x>0.39944</cdr:x>
      <cdr:y>0.80719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483360" y="22529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0.117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0.39278</cdr:x>
      <cdr:y>0.59891</cdr:y>
    </cdr:from>
    <cdr:to>
      <cdr:x>0.46778</cdr:x>
      <cdr:y>0.66416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795780" y="18186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0.364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0.33611</cdr:x>
      <cdr:y>0.36554</cdr:y>
    </cdr:from>
    <cdr:to>
      <cdr:x>0.41111</cdr:x>
      <cdr:y>0.43078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536700" y="110998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0.201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0.39611</cdr:x>
      <cdr:y>0.14722</cdr:y>
    </cdr:from>
    <cdr:to>
      <cdr:x>0.47111</cdr:x>
      <cdr:y>0.21246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1811020" y="4470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0.264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0.60111</cdr:x>
      <cdr:y>0.17231</cdr:y>
    </cdr:from>
    <cdr:to>
      <cdr:x>0.67611</cdr:x>
      <cdr:y>0.23756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E8554634-3110-4362-8793-51973460C7BF}"/>
            </a:ext>
          </a:extLst>
        </cdr:cNvPr>
        <cdr:cNvSpPr txBox="1"/>
      </cdr:nvSpPr>
      <cdr:spPr>
        <a:xfrm xmlns:a="http://schemas.openxmlformats.org/drawingml/2006/main">
          <a:off x="2748280" y="523240"/>
          <a:ext cx="3429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-0.246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449580</xdr:colOff>
      <xdr:row>50</xdr:row>
      <xdr:rowOff>106680</xdr:rowOff>
    </xdr:from>
    <xdr:to>
      <xdr:col>22</xdr:col>
      <xdr:colOff>0</xdr:colOff>
      <xdr:row>68</xdr:row>
      <xdr:rowOff>121920</xdr:rowOff>
    </xdr:to>
    <xdr:graphicFrame macro="">
      <xdr:nvGraphicFramePr>
        <xdr:cNvPr id="28721" name="圖表 1">
          <a:extLst>
            <a:ext uri="{FF2B5EF4-FFF2-40B4-BE49-F238E27FC236}">
              <a16:creationId xmlns:a16="http://schemas.microsoft.com/office/drawing/2014/main" id="{3C8ECE4F-4BB7-4A2B-963C-287DA06A6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80</xdr:row>
      <xdr:rowOff>0</xdr:rowOff>
    </xdr:from>
    <xdr:to>
      <xdr:col>28</xdr:col>
      <xdr:colOff>304800</xdr:colOff>
      <xdr:row>97</xdr:row>
      <xdr:rowOff>160020</xdr:rowOff>
    </xdr:to>
    <xdr:graphicFrame macro="">
      <xdr:nvGraphicFramePr>
        <xdr:cNvPr id="28723" name="圖表 1">
          <a:extLst>
            <a:ext uri="{FF2B5EF4-FFF2-40B4-BE49-F238E27FC236}">
              <a16:creationId xmlns:a16="http://schemas.microsoft.com/office/drawing/2014/main" id="{F096C68F-3DF9-47E3-BEB9-AA8B947A1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0.045</cdr:x>
      <cdr:y>0.50063</cdr:y>
    </cdr:from>
    <cdr:to>
      <cdr:x>0.125</cdr:x>
      <cdr:y>0.57591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E7B3DF32-7176-4148-96A9-7411A972BEF4}"/>
            </a:ext>
          </a:extLst>
        </cdr:cNvPr>
        <cdr:cNvSpPr txBox="1"/>
      </cdr:nvSpPr>
      <cdr:spPr>
        <a:xfrm xmlns:a="http://schemas.openxmlformats.org/drawingml/2006/main">
          <a:off x="205740" y="152019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0.123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0.10611</cdr:x>
      <cdr:y>0.52363</cdr:y>
    </cdr:from>
    <cdr:to>
      <cdr:x>0.18611</cdr:x>
      <cdr:y>0.59891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485140" y="159004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-0.076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0.18611</cdr:x>
      <cdr:y>0.57131</cdr:y>
    </cdr:from>
    <cdr:to>
      <cdr:x>0.26611</cdr:x>
      <cdr:y>0.64659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850900" y="173482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-0.019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0.27278</cdr:x>
      <cdr:y>0.55374</cdr:y>
    </cdr:from>
    <cdr:to>
      <cdr:x>0.35278</cdr:x>
      <cdr:y>0.62903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247140" y="168148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-0.280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0.32944</cdr:x>
      <cdr:y>0.61648</cdr:y>
    </cdr:from>
    <cdr:to>
      <cdr:x>0.40944</cdr:x>
      <cdr:y>0.69176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506220" y="187198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0.117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0.36778</cdr:x>
      <cdr:y>0.50105</cdr:y>
    </cdr:from>
    <cdr:to>
      <cdr:x>0.44778</cdr:x>
      <cdr:y>0.57633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681480" y="152146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0.364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0.40444</cdr:x>
      <cdr:y>0.29527</cdr:y>
    </cdr:from>
    <cdr:to>
      <cdr:x>0.48444</cdr:x>
      <cdr:y>0.37056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849120" y="89662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0.201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0.45444</cdr:x>
      <cdr:y>0.14973</cdr:y>
    </cdr:from>
    <cdr:to>
      <cdr:x>0.53444</cdr:x>
      <cdr:y>0.22501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2077720" y="45466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>
                  <a:lumMod val="50000"/>
                </a:schemeClr>
              </a:solidFill>
            </a:rPr>
            <a:t>0.264</a:t>
          </a:r>
          <a:endParaRPr lang="zh-TW" altLang="en-US" sz="8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0.61778</cdr:x>
      <cdr:y>0.09954</cdr:y>
    </cdr:from>
    <cdr:to>
      <cdr:x>0.69778</cdr:x>
      <cdr:y>0.17482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2824480" y="30226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>
                  <a:lumMod val="50000"/>
                </a:schemeClr>
              </a:solidFill>
            </a:rPr>
            <a:t>-0.249</a:t>
          </a:r>
          <a:endParaRPr lang="zh-TW" altLang="en-US" sz="800">
            <a:solidFill>
              <a:schemeClr val="accent6">
                <a:lumMod val="50000"/>
              </a:schemeClr>
            </a:solidFill>
          </a:endParaRPr>
        </a:p>
      </cdr:txBody>
    </cdr:sp>
  </cdr:relSizeAnchor>
</c:userShapes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0.06667</cdr:x>
      <cdr:y>0.69406</cdr:y>
    </cdr:from>
    <cdr:to>
      <cdr:x>0.135</cdr:x>
      <cdr:y>0.76485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57134759-BFF3-44E1-B8FF-0DBB4FB30CB0}"/>
            </a:ext>
          </a:extLst>
        </cdr:cNvPr>
        <cdr:cNvSpPr txBox="1"/>
      </cdr:nvSpPr>
      <cdr:spPr>
        <a:xfrm xmlns:a="http://schemas.openxmlformats.org/drawingml/2006/main">
          <a:off x="304800" y="2091690"/>
          <a:ext cx="3124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0.170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0.12278</cdr:x>
      <cdr:y>0.67678</cdr:y>
    </cdr:from>
    <cdr:to>
      <cdr:x>0.19111</cdr:x>
      <cdr:y>0.74758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69A6ED6C-9E48-47A2-80BD-34A7560769AA}"/>
            </a:ext>
          </a:extLst>
        </cdr:cNvPr>
        <cdr:cNvSpPr txBox="1"/>
      </cdr:nvSpPr>
      <cdr:spPr>
        <a:xfrm xmlns:a="http://schemas.openxmlformats.org/drawingml/2006/main">
          <a:off x="561340" y="2039620"/>
          <a:ext cx="3124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0.122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0.17278</cdr:x>
      <cdr:y>0.65402</cdr:y>
    </cdr:from>
    <cdr:to>
      <cdr:x>0.24111</cdr:x>
      <cdr:y>0.72482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69A6ED6C-9E48-47A2-80BD-34A7560769AA}"/>
            </a:ext>
          </a:extLst>
        </cdr:cNvPr>
        <cdr:cNvSpPr txBox="1"/>
      </cdr:nvSpPr>
      <cdr:spPr>
        <a:xfrm xmlns:a="http://schemas.openxmlformats.org/drawingml/2006/main">
          <a:off x="789940" y="1971040"/>
          <a:ext cx="3124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0.152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0.24944</cdr:x>
      <cdr:y>0.62368</cdr:y>
    </cdr:from>
    <cdr:to>
      <cdr:x>0.31778</cdr:x>
      <cdr:y>0.69448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69A6ED6C-9E48-47A2-80BD-34A7560769AA}"/>
            </a:ext>
          </a:extLst>
        </cdr:cNvPr>
        <cdr:cNvSpPr txBox="1"/>
      </cdr:nvSpPr>
      <cdr:spPr>
        <a:xfrm xmlns:a="http://schemas.openxmlformats.org/drawingml/2006/main">
          <a:off x="1140460" y="1879600"/>
          <a:ext cx="3124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0.157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0.34111</cdr:x>
      <cdr:y>0.5807</cdr:y>
    </cdr:from>
    <cdr:to>
      <cdr:x>0.40944</cdr:x>
      <cdr:y>0.6515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69A6ED6C-9E48-47A2-80BD-34A7560769AA}"/>
            </a:ext>
          </a:extLst>
        </cdr:cNvPr>
        <cdr:cNvSpPr txBox="1"/>
      </cdr:nvSpPr>
      <cdr:spPr>
        <a:xfrm xmlns:a="http://schemas.openxmlformats.org/drawingml/2006/main">
          <a:off x="1559560" y="1750060"/>
          <a:ext cx="3124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0.251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0.42278</cdr:x>
      <cdr:y>0.41888</cdr:y>
    </cdr:from>
    <cdr:to>
      <cdr:x>0.49111</cdr:x>
      <cdr:y>0.48968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69A6ED6C-9E48-47A2-80BD-34A7560769AA}"/>
            </a:ext>
          </a:extLst>
        </cdr:cNvPr>
        <cdr:cNvSpPr txBox="1"/>
      </cdr:nvSpPr>
      <cdr:spPr>
        <a:xfrm xmlns:a="http://schemas.openxmlformats.org/drawingml/2006/main">
          <a:off x="1932940" y="1262380"/>
          <a:ext cx="3124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0.507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0.48111</cdr:x>
      <cdr:y>0.25959</cdr:y>
    </cdr:from>
    <cdr:to>
      <cdr:x>0.54944</cdr:x>
      <cdr:y>0.33038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69A6ED6C-9E48-47A2-80BD-34A7560769AA}"/>
            </a:ext>
          </a:extLst>
        </cdr:cNvPr>
        <cdr:cNvSpPr txBox="1"/>
      </cdr:nvSpPr>
      <cdr:spPr>
        <a:xfrm xmlns:a="http://schemas.openxmlformats.org/drawingml/2006/main">
          <a:off x="2199640" y="782320"/>
          <a:ext cx="3124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0.663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0.56944</cdr:x>
      <cdr:y>0.08512</cdr:y>
    </cdr:from>
    <cdr:to>
      <cdr:x>0.63778</cdr:x>
      <cdr:y>0.15592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69A6ED6C-9E48-47A2-80BD-34A7560769AA}"/>
            </a:ext>
          </a:extLst>
        </cdr:cNvPr>
        <cdr:cNvSpPr txBox="1"/>
      </cdr:nvSpPr>
      <cdr:spPr>
        <a:xfrm xmlns:a="http://schemas.openxmlformats.org/drawingml/2006/main">
          <a:off x="2603500" y="256540"/>
          <a:ext cx="3124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>
                  <a:lumMod val="50000"/>
                </a:schemeClr>
              </a:solidFill>
            </a:rPr>
            <a:t>0.368</a:t>
          </a:r>
          <a:endParaRPr lang="zh-TW" altLang="en-US" sz="7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0.64944</cdr:x>
      <cdr:y>0.01686</cdr:y>
    </cdr:from>
    <cdr:to>
      <cdr:x>0.71778</cdr:x>
      <cdr:y>0.08765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69A6ED6C-9E48-47A2-80BD-34A7560769AA}"/>
            </a:ext>
          </a:extLst>
        </cdr:cNvPr>
        <cdr:cNvSpPr txBox="1"/>
      </cdr:nvSpPr>
      <cdr:spPr>
        <a:xfrm xmlns:a="http://schemas.openxmlformats.org/drawingml/2006/main">
          <a:off x="2969260" y="50800"/>
          <a:ext cx="3124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</a:rPr>
            <a:t>0.238</a:t>
          </a:r>
          <a:endParaRPr lang="zh-TW" altLang="en-US" sz="700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56</xdr:row>
      <xdr:rowOff>167640</xdr:rowOff>
    </xdr:from>
    <xdr:to>
      <xdr:col>14</xdr:col>
      <xdr:colOff>327660</xdr:colOff>
      <xdr:row>75</xdr:row>
      <xdr:rowOff>15240</xdr:rowOff>
    </xdr:to>
    <xdr:graphicFrame macro="">
      <xdr:nvGraphicFramePr>
        <xdr:cNvPr id="29713" name="圖表 1">
          <a:extLst>
            <a:ext uri="{FF2B5EF4-FFF2-40B4-BE49-F238E27FC236}">
              <a16:creationId xmlns:a16="http://schemas.microsoft.com/office/drawing/2014/main" id="{C0AF37C9-A71D-4BEB-BC29-A1851C45C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0.045</cdr:x>
      <cdr:y>0.50063</cdr:y>
    </cdr:from>
    <cdr:to>
      <cdr:x>0.125</cdr:x>
      <cdr:y>0.57591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E7B3DF32-7176-4148-96A9-7411A972BEF4}"/>
            </a:ext>
          </a:extLst>
        </cdr:cNvPr>
        <cdr:cNvSpPr txBox="1"/>
      </cdr:nvSpPr>
      <cdr:spPr>
        <a:xfrm xmlns:a="http://schemas.openxmlformats.org/drawingml/2006/main">
          <a:off x="205740" y="152019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0.123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0.10611</cdr:x>
      <cdr:y>0.52363</cdr:y>
    </cdr:from>
    <cdr:to>
      <cdr:x>0.18611</cdr:x>
      <cdr:y>0.59891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485140" y="159004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-0.076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0.18611</cdr:x>
      <cdr:y>0.57131</cdr:y>
    </cdr:from>
    <cdr:to>
      <cdr:x>0.26611</cdr:x>
      <cdr:y>0.64659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850900" y="173482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-0.019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0.27278</cdr:x>
      <cdr:y>0.55374</cdr:y>
    </cdr:from>
    <cdr:to>
      <cdr:x>0.35278</cdr:x>
      <cdr:y>0.62903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247140" y="168148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-0.280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0.32944</cdr:x>
      <cdr:y>0.61648</cdr:y>
    </cdr:from>
    <cdr:to>
      <cdr:x>0.40944</cdr:x>
      <cdr:y>0.69176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506220" y="187198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0.117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0.36778</cdr:x>
      <cdr:y>0.50105</cdr:y>
    </cdr:from>
    <cdr:to>
      <cdr:x>0.44778</cdr:x>
      <cdr:y>0.57633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681480" y="152146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0.364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0.40444</cdr:x>
      <cdr:y>0.29527</cdr:y>
    </cdr:from>
    <cdr:to>
      <cdr:x>0.48444</cdr:x>
      <cdr:y>0.37056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849120" y="89662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0.201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0.45444</cdr:x>
      <cdr:y>0.14973</cdr:y>
    </cdr:from>
    <cdr:to>
      <cdr:x>0.53444</cdr:x>
      <cdr:y>0.22501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2077720" y="45466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>
                  <a:lumMod val="50000"/>
                </a:schemeClr>
              </a:solidFill>
            </a:rPr>
            <a:t>0.264</a:t>
          </a:r>
          <a:endParaRPr lang="zh-TW" altLang="en-US" sz="8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0.61778</cdr:x>
      <cdr:y>0.09954</cdr:y>
    </cdr:from>
    <cdr:to>
      <cdr:x>0.69778</cdr:x>
      <cdr:y>0.17482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2824480" y="30226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>
                  <a:lumMod val="50000"/>
                </a:schemeClr>
              </a:solidFill>
            </a:rPr>
            <a:t>-0.246</a:t>
          </a:r>
          <a:endParaRPr lang="zh-TW" altLang="en-US" sz="800">
            <a:solidFill>
              <a:schemeClr val="accent6">
                <a:lumMod val="50000"/>
              </a:schemeClr>
            </a:solidFill>
          </a:endParaRPr>
        </a:p>
      </cdr:txBody>
    </cdr:sp>
  </cdr:relSizeAnchor>
</c:userShapes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78</xdr:row>
      <xdr:rowOff>0</xdr:rowOff>
    </xdr:from>
    <xdr:to>
      <xdr:col>17</xdr:col>
      <xdr:colOff>304800</xdr:colOff>
      <xdr:row>96</xdr:row>
      <xdr:rowOff>15240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237EF78-ACAA-4FC1-9383-938A4CE41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0.045</cdr:x>
      <cdr:y>0.50063</cdr:y>
    </cdr:from>
    <cdr:to>
      <cdr:x>0.125</cdr:x>
      <cdr:y>0.57591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E7B3DF32-7176-4148-96A9-7411A972BEF4}"/>
            </a:ext>
          </a:extLst>
        </cdr:cNvPr>
        <cdr:cNvSpPr txBox="1"/>
      </cdr:nvSpPr>
      <cdr:spPr>
        <a:xfrm xmlns:a="http://schemas.openxmlformats.org/drawingml/2006/main">
          <a:off x="205740" y="152019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0.123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0.10611</cdr:x>
      <cdr:y>0.52363</cdr:y>
    </cdr:from>
    <cdr:to>
      <cdr:x>0.18611</cdr:x>
      <cdr:y>0.59891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485140" y="159004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-0.076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0.18611</cdr:x>
      <cdr:y>0.57131</cdr:y>
    </cdr:from>
    <cdr:to>
      <cdr:x>0.26611</cdr:x>
      <cdr:y>0.64659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850900" y="173482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-0.019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0.27278</cdr:x>
      <cdr:y>0.55374</cdr:y>
    </cdr:from>
    <cdr:to>
      <cdr:x>0.35278</cdr:x>
      <cdr:y>0.62903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247140" y="168148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-0.280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0.32944</cdr:x>
      <cdr:y>0.61648</cdr:y>
    </cdr:from>
    <cdr:to>
      <cdr:x>0.40944</cdr:x>
      <cdr:y>0.69176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506220" y="187198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0.117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0.36778</cdr:x>
      <cdr:y>0.50105</cdr:y>
    </cdr:from>
    <cdr:to>
      <cdr:x>0.44778</cdr:x>
      <cdr:y>0.57633</cdr:y>
    </cdr:to>
    <cdr:sp macro="" textlink="">
      <cdr:nvSpPr>
        <cdr:cNvPr id="7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681480" y="152146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0.364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0.40444</cdr:x>
      <cdr:y>0.29527</cdr:y>
    </cdr:from>
    <cdr:to>
      <cdr:x>0.48444</cdr:x>
      <cdr:y>0.37056</cdr:y>
    </cdr:to>
    <cdr:sp macro="" textlink="">
      <cdr:nvSpPr>
        <cdr:cNvPr id="8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1849120" y="89662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0.201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0.45444</cdr:x>
      <cdr:y>0.14973</cdr:y>
    </cdr:from>
    <cdr:to>
      <cdr:x>0.53444</cdr:x>
      <cdr:y>0.22501</cdr:y>
    </cdr:to>
    <cdr:sp macro="" textlink="">
      <cdr:nvSpPr>
        <cdr:cNvPr id="9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2077720" y="45466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>
                  <a:lumMod val="50000"/>
                </a:schemeClr>
              </a:solidFill>
            </a:rPr>
            <a:t>0.264</a:t>
          </a:r>
          <a:endParaRPr lang="zh-TW" altLang="en-US" sz="800">
            <a:solidFill>
              <a:schemeClr val="accent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0.61778</cdr:x>
      <cdr:y>0.09954</cdr:y>
    </cdr:from>
    <cdr:to>
      <cdr:x>0.69778</cdr:x>
      <cdr:y>0.17482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:a16="http://schemas.microsoft.com/office/drawing/2014/main" id="{186B1671-6E6B-45E0-AAC8-AEE6202920F9}"/>
            </a:ext>
          </a:extLst>
        </cdr:cNvPr>
        <cdr:cNvSpPr txBox="1"/>
      </cdr:nvSpPr>
      <cdr:spPr>
        <a:xfrm xmlns:a="http://schemas.openxmlformats.org/drawingml/2006/main">
          <a:off x="2824480" y="302260"/>
          <a:ext cx="3657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>
                  <a:lumMod val="50000"/>
                </a:schemeClr>
              </a:solidFill>
            </a:rPr>
            <a:t>-0.247</a:t>
          </a:r>
          <a:endParaRPr lang="zh-TW" altLang="en-US" sz="800">
            <a:solidFill>
              <a:schemeClr val="accent6">
                <a:lumMod val="50000"/>
              </a:schemeClr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wnloads\Excel\&#36001;&#32147;&#25976;&#25818;Excel&#27284;\PCEPI202311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310"/>
      <sheetName val="202311"/>
      <sheetName val="202308"/>
    </sheetNames>
    <sheetDataSet>
      <sheetData sheetId="0">
        <row r="24">
          <cell r="A24">
            <v>43101</v>
          </cell>
          <cell r="D24">
            <v>1.7576494957315711</v>
          </cell>
          <cell r="E24">
            <v>1</v>
          </cell>
          <cell r="H24">
            <v>1.7360498802</v>
          </cell>
        </row>
        <row r="25">
          <cell r="A25">
            <v>43132</v>
          </cell>
          <cell r="D25">
            <v>1.8376076958608623</v>
          </cell>
          <cell r="E25">
            <v>2</v>
          </cell>
          <cell r="H25">
            <v>1.8586633416</v>
          </cell>
        </row>
        <row r="26">
          <cell r="A26">
            <v>43160</v>
          </cell>
          <cell r="D26">
            <v>1.9982920580700301</v>
          </cell>
          <cell r="E26">
            <v>3</v>
          </cell>
          <cell r="H26">
            <v>1.9812768030000001</v>
          </cell>
        </row>
        <row r="27">
          <cell r="A27">
            <v>43191</v>
          </cell>
          <cell r="D27">
            <v>2.0466282276259826</v>
          </cell>
          <cell r="E27">
            <v>4</v>
          </cell>
          <cell r="H27">
            <v>2.1038902643999999</v>
          </cell>
        </row>
        <row r="28">
          <cell r="A28">
            <v>43221</v>
          </cell>
          <cell r="D28">
            <v>2.2662065367869828</v>
          </cell>
          <cell r="E28">
            <v>5</v>
          </cell>
          <cell r="H28">
            <v>2.2265037258000002</v>
          </cell>
        </row>
        <row r="29">
          <cell r="A29">
            <v>43252</v>
          </cell>
          <cell r="D29">
            <v>2.2683078403464014</v>
          </cell>
          <cell r="E29">
            <v>6</v>
          </cell>
          <cell r="H29">
            <v>2.3222375461999998</v>
          </cell>
        </row>
        <row r="30">
          <cell r="A30">
            <v>43282</v>
          </cell>
          <cell r="D30">
            <v>2.3386070559001264</v>
          </cell>
          <cell r="E30">
            <v>7</v>
          </cell>
          <cell r="H30">
            <v>2.2461091979000001</v>
          </cell>
        </row>
        <row r="31">
          <cell r="A31">
            <v>43313</v>
          </cell>
          <cell r="D31">
            <v>2.1804112889519804</v>
          </cell>
          <cell r="E31">
            <v>8</v>
          </cell>
          <cell r="H31">
            <v>2.1699808494999999</v>
          </cell>
        </row>
        <row r="32">
          <cell r="A32">
            <v>43344</v>
          </cell>
          <cell r="D32">
            <v>2.0099601593625502</v>
          </cell>
          <cell r="E32">
            <v>9</v>
          </cell>
          <cell r="H32">
            <v>2.0938525011000002</v>
          </cell>
        </row>
        <row r="33">
          <cell r="A33">
            <v>43374</v>
          </cell>
          <cell r="D33">
            <v>2.0530980493579025</v>
          </cell>
          <cell r="E33">
            <v>10</v>
          </cell>
          <cell r="H33">
            <v>2.0177241528000001</v>
          </cell>
        </row>
        <row r="34">
          <cell r="A34">
            <v>43405</v>
          </cell>
          <cell r="D34">
            <v>1.9418922274646122</v>
          </cell>
          <cell r="E34">
            <v>11</v>
          </cell>
          <cell r="H34">
            <v>1.9415958043999999</v>
          </cell>
        </row>
        <row r="35">
          <cell r="A35">
            <v>43435</v>
          </cell>
          <cell r="D35">
            <v>1.8646908878110666</v>
          </cell>
          <cell r="E35">
            <v>12</v>
          </cell>
          <cell r="H35">
            <v>1.8654674561</v>
          </cell>
        </row>
        <row r="36">
          <cell r="A36">
            <v>43466</v>
          </cell>
          <cell r="D36">
            <v>1.4970503661103376</v>
          </cell>
          <cell r="E36">
            <v>13</v>
          </cell>
          <cell r="H36">
            <v>1.5253491168</v>
          </cell>
        </row>
        <row r="37">
          <cell r="A37">
            <v>43497</v>
          </cell>
          <cell r="D37">
            <v>1.4258105229943974</v>
          </cell>
          <cell r="E37">
            <v>14</v>
          </cell>
          <cell r="H37">
            <v>1.5058576435</v>
          </cell>
        </row>
        <row r="38">
          <cell r="A38">
            <v>43525</v>
          </cell>
          <cell r="D38">
            <v>1.5090027973681066</v>
          </cell>
          <cell r="E38">
            <v>15</v>
          </cell>
          <cell r="H38">
            <v>1.4863661703</v>
          </cell>
        </row>
        <row r="39">
          <cell r="A39">
            <v>43556</v>
          </cell>
          <cell r="D39">
            <v>1.5771475738458716</v>
          </cell>
          <cell r="E39">
            <v>16</v>
          </cell>
          <cell r="H39">
            <v>1.4668746969999999</v>
          </cell>
        </row>
        <row r="40">
          <cell r="A40">
            <v>43586</v>
          </cell>
          <cell r="D40">
            <v>1.4567249683640531</v>
          </cell>
          <cell r="E40">
            <v>17</v>
          </cell>
          <cell r="H40">
            <v>1.4473832236999999</v>
          </cell>
        </row>
        <row r="41">
          <cell r="A41">
            <v>43617</v>
          </cell>
          <cell r="D41">
            <v>1.4113634358858733</v>
          </cell>
          <cell r="E41">
            <v>18</v>
          </cell>
          <cell r="H41">
            <v>1.4278917504999999</v>
          </cell>
        </row>
        <row r="42">
          <cell r="A42">
            <v>43647</v>
          </cell>
          <cell r="D42">
            <v>1.4402224463221003</v>
          </cell>
          <cell r="E42">
            <v>19</v>
          </cell>
          <cell r="H42">
            <v>1.4084002771999999</v>
          </cell>
        </row>
        <row r="43">
          <cell r="A43">
            <v>43678</v>
          </cell>
          <cell r="D43">
            <v>1.4216108328115244</v>
          </cell>
          <cell r="E43">
            <v>20</v>
          </cell>
          <cell r="H43">
            <v>1.3889088038999999</v>
          </cell>
        </row>
        <row r="44">
          <cell r="A44">
            <v>43709</v>
          </cell>
          <cell r="D44">
            <v>1.3044582007069054</v>
          </cell>
          <cell r="E44">
            <v>21</v>
          </cell>
          <cell r="H44">
            <v>1.3694173305999999</v>
          </cell>
        </row>
        <row r="45">
          <cell r="A45">
            <v>43739</v>
          </cell>
          <cell r="D45">
            <v>1.3314489010185679</v>
          </cell>
          <cell r="E45">
            <v>22</v>
          </cell>
          <cell r="H45">
            <v>1.3499258573999999</v>
          </cell>
        </row>
        <row r="46">
          <cell r="A46">
            <v>43770</v>
          </cell>
          <cell r="D46">
            <v>1.3319692097827189</v>
          </cell>
          <cell r="E46">
            <v>23</v>
          </cell>
          <cell r="H46">
            <v>1.3304343840999999</v>
          </cell>
        </row>
        <row r="47">
          <cell r="A47">
            <v>43800</v>
          </cell>
          <cell r="D47">
            <v>1.5394202588095571</v>
          </cell>
          <cell r="E47">
            <v>24</v>
          </cell>
          <cell r="H47">
            <v>1.8483446670999999</v>
          </cell>
        </row>
        <row r="48">
          <cell r="A48">
            <v>43831</v>
          </cell>
          <cell r="D48">
            <v>1.6979184921237609</v>
          </cell>
          <cell r="E48">
            <v>25</v>
          </cell>
          <cell r="H48">
            <v>1.5680777449000001</v>
          </cell>
        </row>
        <row r="49">
          <cell r="A49">
            <v>43862</v>
          </cell>
          <cell r="D49">
            <v>1.6420057941708379</v>
          </cell>
          <cell r="E49">
            <v>26</v>
          </cell>
          <cell r="H49">
            <v>1.2878108226</v>
          </cell>
        </row>
        <row r="50">
          <cell r="A50">
            <v>43891</v>
          </cell>
          <cell r="D50">
            <v>1.1469492314857963</v>
          </cell>
          <cell r="E50">
            <v>27</v>
          </cell>
          <cell r="H50">
            <v>1.0075439004</v>
          </cell>
        </row>
        <row r="51">
          <cell r="A51">
            <v>43922</v>
          </cell>
          <cell r="D51">
            <v>0.41114045525341864</v>
          </cell>
          <cell r="E51">
            <v>28</v>
          </cell>
          <cell r="H51">
            <v>0.72727697810000003</v>
          </cell>
        </row>
        <row r="52">
          <cell r="A52">
            <v>43952</v>
          </cell>
          <cell r="D52">
            <v>0.44862993831338216</v>
          </cell>
          <cell r="E52">
            <v>29</v>
          </cell>
          <cell r="H52">
            <v>0.44701005589999998</v>
          </cell>
        </row>
        <row r="53">
          <cell r="A53">
            <v>43983</v>
          </cell>
          <cell r="D53">
            <v>0.70552532642627652</v>
          </cell>
          <cell r="E53">
            <v>30</v>
          </cell>
          <cell r="H53">
            <v>0.79284869540000003</v>
          </cell>
        </row>
        <row r="54">
          <cell r="A54">
            <v>44013</v>
          </cell>
          <cell r="D54">
            <v>0.90050961315727807</v>
          </cell>
          <cell r="E54">
            <v>31</v>
          </cell>
          <cell r="H54">
            <v>0.91014849990000002</v>
          </cell>
        </row>
        <row r="55">
          <cell r="A55">
            <v>44044</v>
          </cell>
          <cell r="D55">
            <v>1.1653370119910076</v>
          </cell>
          <cell r="E55">
            <v>32</v>
          </cell>
          <cell r="H55">
            <v>1.0274483044</v>
          </cell>
        </row>
        <row r="56">
          <cell r="A56">
            <v>44075</v>
          </cell>
          <cell r="D56">
            <v>1.2471808315823938</v>
          </cell>
          <cell r="E56">
            <v>33</v>
          </cell>
          <cell r="H56">
            <v>1.1447481089</v>
          </cell>
        </row>
        <row r="57">
          <cell r="A57">
            <v>44105</v>
          </cell>
          <cell r="D57">
            <v>1.11868873904637</v>
          </cell>
          <cell r="E57">
            <v>34</v>
          </cell>
          <cell r="H57">
            <v>1.2620479134</v>
          </cell>
        </row>
        <row r="58">
          <cell r="A58">
            <v>44136</v>
          </cell>
          <cell r="D58">
            <v>1.1538794388299689</v>
          </cell>
          <cell r="E58">
            <v>35</v>
          </cell>
          <cell r="H58">
            <v>1.0193186811999999</v>
          </cell>
        </row>
        <row r="59">
          <cell r="A59">
            <v>44166</v>
          </cell>
          <cell r="D59">
            <v>1.3664870255652914</v>
          </cell>
          <cell r="E59">
            <v>36</v>
          </cell>
          <cell r="H59">
            <v>1.3830189502000001</v>
          </cell>
        </row>
        <row r="60">
          <cell r="A60">
            <v>44197</v>
          </cell>
          <cell r="D60">
            <v>1.6150031591644467</v>
          </cell>
          <cell r="E60">
            <v>37</v>
          </cell>
          <cell r="H60">
            <v>1.7467192192000001</v>
          </cell>
        </row>
        <row r="61">
          <cell r="A61">
            <v>44228</v>
          </cell>
          <cell r="D61">
            <v>1.8852043500301323</v>
          </cell>
          <cell r="E61">
            <v>38</v>
          </cell>
          <cell r="H61">
            <v>2.1104194881999998</v>
          </cell>
        </row>
        <row r="62">
          <cell r="A62">
            <v>44256</v>
          </cell>
          <cell r="D62">
            <v>2.7130221224505489</v>
          </cell>
          <cell r="E62">
            <v>39</v>
          </cell>
          <cell r="H62">
            <v>2.4741197572</v>
          </cell>
        </row>
        <row r="63">
          <cell r="A63">
            <v>44287</v>
          </cell>
          <cell r="D63">
            <v>3.7246136652664839</v>
          </cell>
          <cell r="E63">
            <v>40</v>
          </cell>
          <cell r="H63">
            <v>3.8702564268000001</v>
          </cell>
        </row>
        <row r="64">
          <cell r="A64">
            <v>44317</v>
          </cell>
          <cell r="D64">
            <v>4.1553566272018418</v>
          </cell>
          <cell r="E64">
            <v>41</v>
          </cell>
          <cell r="H64">
            <v>4.0712063672000003</v>
          </cell>
        </row>
        <row r="65">
          <cell r="A65">
            <v>44348</v>
          </cell>
          <cell r="D65">
            <v>4.3724028061689628</v>
          </cell>
          <cell r="E65">
            <v>42</v>
          </cell>
          <cell r="H65">
            <v>4.2721563076000004</v>
          </cell>
        </row>
        <row r="66">
          <cell r="A66">
            <v>44378</v>
          </cell>
          <cell r="D66">
            <v>4.5331496733339112</v>
          </cell>
          <cell r="E66">
            <v>43</v>
          </cell>
          <cell r="H66">
            <v>4.4731062479999997</v>
          </cell>
        </row>
        <row r="67">
          <cell r="A67">
            <v>44409</v>
          </cell>
          <cell r="D67">
            <v>4.6448426131649914</v>
          </cell>
          <cell r="E67">
            <v>44</v>
          </cell>
          <cell r="H67">
            <v>4.6740561884999998</v>
          </cell>
        </row>
        <row r="68">
          <cell r="A68">
            <v>44440</v>
          </cell>
          <cell r="D68">
            <v>4.8054222831467532</v>
          </cell>
          <cell r="E68">
            <v>45</v>
          </cell>
          <cell r="H68">
            <v>4.8750061289</v>
          </cell>
        </row>
        <row r="69">
          <cell r="A69">
            <v>44470</v>
          </cell>
          <cell r="D69">
            <v>5.4069479852364948</v>
          </cell>
          <cell r="E69">
            <v>46</v>
          </cell>
          <cell r="H69">
            <v>5.5590709274999996</v>
          </cell>
        </row>
        <row r="70">
          <cell r="A70">
            <v>44501</v>
          </cell>
          <cell r="D70">
            <v>5.9859121457836224</v>
          </cell>
          <cell r="E70">
            <v>47</v>
          </cell>
          <cell r="H70">
            <v>5.8227856459999998</v>
          </cell>
        </row>
        <row r="71">
          <cell r="A71">
            <v>44531</v>
          </cell>
          <cell r="D71">
            <v>6.1802908038256712</v>
          </cell>
          <cell r="E71">
            <v>48</v>
          </cell>
          <cell r="H71">
            <v>6.0865003644</v>
          </cell>
        </row>
        <row r="72">
          <cell r="A72">
            <v>44562</v>
          </cell>
          <cell r="D72">
            <v>6.2970464930048493</v>
          </cell>
          <cell r="E72">
            <v>49</v>
          </cell>
          <cell r="H72">
            <v>6.3502150829000001</v>
          </cell>
        </row>
        <row r="73">
          <cell r="A73">
            <v>44593</v>
          </cell>
          <cell r="D73">
            <v>6.5470043746831541</v>
          </cell>
          <cell r="E73">
            <v>50</v>
          </cell>
          <cell r="H73">
            <v>6.6139298014000003</v>
          </cell>
        </row>
        <row r="74">
          <cell r="A74">
            <v>44621</v>
          </cell>
          <cell r="D74">
            <v>6.8929445388825537</v>
          </cell>
          <cell r="E74">
            <v>51</v>
          </cell>
          <cell r="H74">
            <v>6.8776445197999996</v>
          </cell>
        </row>
        <row r="75">
          <cell r="A75">
            <v>44652</v>
          </cell>
          <cell r="D75">
            <v>6.619791569913243</v>
          </cell>
          <cell r="E75">
            <v>52</v>
          </cell>
          <cell r="H75">
            <v>7.3556668188999996</v>
          </cell>
        </row>
        <row r="76">
          <cell r="A76">
            <v>44682</v>
          </cell>
          <cell r="D76">
            <v>6.6899553633313973</v>
          </cell>
          <cell r="E76">
            <v>53</v>
          </cell>
          <cell r="H76">
            <v>7.1100566401999998</v>
          </cell>
        </row>
        <row r="77">
          <cell r="A77">
            <v>44713</v>
          </cell>
          <cell r="D77">
            <v>7.1169141648659915</v>
          </cell>
          <cell r="E77">
            <v>54</v>
          </cell>
          <cell r="H77">
            <v>6.8644464616</v>
          </cell>
        </row>
        <row r="78">
          <cell r="A78">
            <v>44743</v>
          </cell>
          <cell r="D78">
            <v>6.616947291361635</v>
          </cell>
          <cell r="E78">
            <v>55</v>
          </cell>
          <cell r="H78">
            <v>6.6188362829000003</v>
          </cell>
        </row>
        <row r="79">
          <cell r="A79">
            <v>44774</v>
          </cell>
          <cell r="D79">
            <v>6.5154000364497957</v>
          </cell>
          <cell r="E79">
            <v>56</v>
          </cell>
          <cell r="H79">
            <v>6.3732261042999996</v>
          </cell>
        </row>
        <row r="80">
          <cell r="A80">
            <v>44805</v>
          </cell>
          <cell r="D80">
            <v>6.5560964976020832</v>
          </cell>
          <cell r="E80">
            <v>57</v>
          </cell>
          <cell r="H80">
            <v>6.1276159255999998</v>
          </cell>
        </row>
        <row r="81">
          <cell r="A81">
            <v>44835</v>
          </cell>
          <cell r="D81">
            <v>6.3479171178976168</v>
          </cell>
          <cell r="E81">
            <v>58</v>
          </cell>
          <cell r="H81">
            <v>5.882005747</v>
          </cell>
        </row>
        <row r="82">
          <cell r="A82">
            <v>44866</v>
          </cell>
          <cell r="D82">
            <v>5.9285701472724988</v>
          </cell>
          <cell r="E82">
            <v>59</v>
          </cell>
          <cell r="H82">
            <v>5.6363955683000002</v>
          </cell>
        </row>
        <row r="83">
          <cell r="A83">
            <v>44896</v>
          </cell>
          <cell r="D83">
            <v>5.441910192444765</v>
          </cell>
          <cell r="E83">
            <v>60</v>
          </cell>
          <cell r="H83">
            <v>5.3907853897000004</v>
          </cell>
        </row>
        <row r="84">
          <cell r="A84">
            <v>44927</v>
          </cell>
          <cell r="D84">
            <v>5.4790878231660329</v>
          </cell>
          <cell r="E84">
            <v>61</v>
          </cell>
          <cell r="H84">
            <v>5.1451752109999997</v>
          </cell>
        </row>
        <row r="85">
          <cell r="A85">
            <v>44958</v>
          </cell>
          <cell r="D85">
            <v>5.1896102065271021</v>
          </cell>
          <cell r="E85">
            <v>62</v>
          </cell>
          <cell r="H85">
            <v>4.8995650323</v>
          </cell>
        </row>
        <row r="86">
          <cell r="A86">
            <v>44986</v>
          </cell>
          <cell r="D86">
            <v>4.4422697167222998</v>
          </cell>
          <cell r="E86">
            <v>63</v>
          </cell>
          <cell r="H86">
            <v>4.6539548537000002</v>
          </cell>
        </row>
        <row r="87">
          <cell r="A87">
            <v>45017</v>
          </cell>
          <cell r="D87">
            <v>4.4464190819677833</v>
          </cell>
          <cell r="E87">
            <v>64</v>
          </cell>
          <cell r="H87">
            <v>4.4083446750000004</v>
          </cell>
        </row>
        <row r="88">
          <cell r="A88">
            <v>45047</v>
          </cell>
          <cell r="D88">
            <v>3.9620255357483138</v>
          </cell>
          <cell r="E88">
            <v>65</v>
          </cell>
          <cell r="H88">
            <v>4.1627344963999997</v>
          </cell>
        </row>
        <row r="89">
          <cell r="A89">
            <v>45078</v>
          </cell>
          <cell r="D89">
            <v>3.1984205330700881</v>
          </cell>
          <cell r="E89">
            <v>66</v>
          </cell>
          <cell r="H89">
            <v>3.9171243176999999</v>
          </cell>
        </row>
        <row r="90">
          <cell r="A90">
            <v>45108</v>
          </cell>
          <cell r="D90">
            <v>3.370497206272375</v>
          </cell>
          <cell r="E90">
            <v>67</v>
          </cell>
          <cell r="H90">
            <v>3.6715141391000001</v>
          </cell>
        </row>
        <row r="91">
          <cell r="A91">
            <v>45139</v>
          </cell>
          <cell r="D91">
            <v>3.410899135939768</v>
          </cell>
          <cell r="E91">
            <v>68</v>
          </cell>
          <cell r="H91">
            <v>3.4259039603999999</v>
          </cell>
        </row>
        <row r="92">
          <cell r="A92">
            <v>45170</v>
          </cell>
          <cell r="D92">
            <v>3.419029271868669</v>
          </cell>
          <cell r="E92">
            <v>69</v>
          </cell>
          <cell r="H92">
            <v>3.1802937818000001</v>
          </cell>
        </row>
        <row r="93">
          <cell r="A93">
            <v>45200</v>
          </cell>
          <cell r="D93">
            <v>3.0065681166307483</v>
          </cell>
          <cell r="E93">
            <v>70</v>
          </cell>
          <cell r="H93">
            <v>2.9346836030999999</v>
          </cell>
        </row>
      </sheetData>
      <sheetData sheetId="1">
        <row r="24">
          <cell r="A24">
            <v>43101</v>
          </cell>
          <cell r="E24">
            <v>1.7576494957315711</v>
          </cell>
          <cell r="Y24">
            <v>43101</v>
          </cell>
          <cell r="Z24">
            <v>1</v>
          </cell>
          <cell r="AB24">
            <v>101.199</v>
          </cell>
          <cell r="AC24">
            <v>101.21961904760001</v>
          </cell>
        </row>
        <row r="25">
          <cell r="A25">
            <v>43132</v>
          </cell>
          <cell r="E25">
            <v>1.8376076958608623</v>
          </cell>
          <cell r="Y25">
            <v>43132</v>
          </cell>
          <cell r="Z25">
            <v>2</v>
          </cell>
          <cell r="AB25">
            <v>101.416</v>
          </cell>
          <cell r="AC25">
            <v>101.39010476190001</v>
          </cell>
        </row>
        <row r="26">
          <cell r="A26">
            <v>43160</v>
          </cell>
          <cell r="E26">
            <v>1.9982920580700301</v>
          </cell>
          <cell r="Y26">
            <v>43160</v>
          </cell>
          <cell r="Z26">
            <v>3</v>
          </cell>
          <cell r="AB26">
            <v>101.524</v>
          </cell>
          <cell r="AC26">
            <v>101.56059047620001</v>
          </cell>
        </row>
        <row r="27">
          <cell r="A27">
            <v>43191</v>
          </cell>
          <cell r="E27">
            <v>2.0466282276259826</v>
          </cell>
          <cell r="Y27">
            <v>43191</v>
          </cell>
          <cell r="Z27">
            <v>4</v>
          </cell>
          <cell r="AB27">
            <v>101.76600000000001</v>
          </cell>
          <cell r="AC27">
            <v>101.7310761905</v>
          </cell>
        </row>
        <row r="28">
          <cell r="A28">
            <v>43221</v>
          </cell>
          <cell r="E28">
            <v>2.2662065367869828</v>
          </cell>
          <cell r="Y28">
            <v>43221</v>
          </cell>
          <cell r="Z28">
            <v>5</v>
          </cell>
          <cell r="AB28">
            <v>101.941</v>
          </cell>
          <cell r="AC28">
            <v>101.9015619048</v>
          </cell>
        </row>
        <row r="29">
          <cell r="A29">
            <v>43252</v>
          </cell>
          <cell r="E29">
            <v>2.2683078403464014</v>
          </cell>
          <cell r="Y29">
            <v>43252</v>
          </cell>
          <cell r="Z29">
            <v>6</v>
          </cell>
          <cell r="AB29">
            <v>102.029</v>
          </cell>
          <cell r="AC29">
            <v>102.072047619</v>
          </cell>
        </row>
        <row r="30">
          <cell r="A30">
            <v>43282</v>
          </cell>
          <cell r="E30">
            <v>2.3386070559001264</v>
          </cell>
          <cell r="Y30">
            <v>43282</v>
          </cell>
          <cell r="Z30">
            <v>7</v>
          </cell>
          <cell r="AB30">
            <v>102.137</v>
          </cell>
          <cell r="AC30">
            <v>102.1436666667</v>
          </cell>
        </row>
        <row r="31">
          <cell r="A31">
            <v>43313</v>
          </cell>
          <cell r="E31">
            <v>2.1804112889519804</v>
          </cell>
          <cell r="Y31">
            <v>43313</v>
          </cell>
          <cell r="Z31">
            <v>8</v>
          </cell>
          <cell r="AB31">
            <v>102.208</v>
          </cell>
          <cell r="AC31">
            <v>102.26546666669999</v>
          </cell>
        </row>
        <row r="32">
          <cell r="A32">
            <v>43344</v>
          </cell>
          <cell r="E32">
            <v>2.0099601593625502</v>
          </cell>
          <cell r="Y32">
            <v>43344</v>
          </cell>
          <cell r="Z32">
            <v>9</v>
          </cell>
          <cell r="AB32">
            <v>102.41800000000001</v>
          </cell>
          <cell r="AC32">
            <v>102.3872666667</v>
          </cell>
        </row>
        <row r="33">
          <cell r="A33">
            <v>43374</v>
          </cell>
          <cell r="E33">
            <v>2.0530980493579025</v>
          </cell>
          <cell r="Y33">
            <v>43374</v>
          </cell>
          <cell r="Z33">
            <v>10</v>
          </cell>
          <cell r="AB33">
            <v>102.595</v>
          </cell>
          <cell r="AC33">
            <v>102.50906666669999</v>
          </cell>
        </row>
        <row r="34">
          <cell r="A34">
            <v>43405</v>
          </cell>
          <cell r="E34">
            <v>1.9418922274646122</v>
          </cell>
          <cell r="Y34">
            <v>43405</v>
          </cell>
          <cell r="Z34">
            <v>11</v>
          </cell>
          <cell r="AB34">
            <v>102.63</v>
          </cell>
          <cell r="AC34">
            <v>102.6308666667</v>
          </cell>
        </row>
        <row r="35">
          <cell r="A35">
            <v>43435</v>
          </cell>
          <cell r="E35">
            <v>1.8646908878110666</v>
          </cell>
          <cell r="Y35">
            <v>43435</v>
          </cell>
          <cell r="Z35">
            <v>12</v>
          </cell>
          <cell r="AB35">
            <v>102.70099999999999</v>
          </cell>
          <cell r="AC35">
            <v>102.75266666669999</v>
          </cell>
        </row>
        <row r="36">
          <cell r="A36">
            <v>43466</v>
          </cell>
          <cell r="E36">
            <v>1.4970503661103376</v>
          </cell>
          <cell r="Y36">
            <v>43466</v>
          </cell>
          <cell r="Z36">
            <v>13</v>
          </cell>
          <cell r="AB36">
            <v>102.714</v>
          </cell>
          <cell r="AC36">
            <v>102.7580714286</v>
          </cell>
        </row>
        <row r="37">
          <cell r="A37">
            <v>43497</v>
          </cell>
          <cell r="E37">
            <v>1.4258105229943974</v>
          </cell>
          <cell r="Y37">
            <v>43497</v>
          </cell>
          <cell r="Z37">
            <v>14</v>
          </cell>
          <cell r="AB37">
            <v>102.86199999999999</v>
          </cell>
          <cell r="AC37">
            <v>102.9104285714</v>
          </cell>
        </row>
        <row r="38">
          <cell r="A38">
            <v>43525</v>
          </cell>
          <cell r="E38">
            <v>1.5090027973681066</v>
          </cell>
          <cell r="Y38">
            <v>43525</v>
          </cell>
          <cell r="Z38">
            <v>15</v>
          </cell>
          <cell r="AB38">
            <v>103.056</v>
          </cell>
          <cell r="AC38">
            <v>103.06278571430001</v>
          </cell>
        </row>
        <row r="39">
          <cell r="A39">
            <v>43556</v>
          </cell>
          <cell r="E39">
            <v>1.5771475738458716</v>
          </cell>
          <cell r="Y39">
            <v>43556</v>
          </cell>
          <cell r="Z39">
            <v>16</v>
          </cell>
          <cell r="AB39">
            <v>103.371</v>
          </cell>
          <cell r="AC39">
            <v>103.21514285710001</v>
          </cell>
        </row>
        <row r="40">
          <cell r="A40">
            <v>43586</v>
          </cell>
          <cell r="E40">
            <v>1.4567249683640531</v>
          </cell>
          <cell r="Y40">
            <v>43586</v>
          </cell>
          <cell r="Z40">
            <v>17</v>
          </cell>
          <cell r="AB40">
            <v>103.426</v>
          </cell>
          <cell r="AC40">
            <v>103.36750000000001</v>
          </cell>
        </row>
        <row r="41">
          <cell r="A41">
            <v>43617</v>
          </cell>
          <cell r="E41">
            <v>1.4113634358858733</v>
          </cell>
          <cell r="Y41">
            <v>43617</v>
          </cell>
          <cell r="Z41">
            <v>18</v>
          </cell>
          <cell r="AB41">
            <v>103.46899999999999</v>
          </cell>
          <cell r="AC41">
            <v>103.51985714289999</v>
          </cell>
        </row>
        <row r="42">
          <cell r="A42">
            <v>43647</v>
          </cell>
          <cell r="E42">
            <v>1.4402224463221003</v>
          </cell>
          <cell r="Y42">
            <v>43647</v>
          </cell>
          <cell r="Z42">
            <v>19</v>
          </cell>
          <cell r="AB42">
            <v>103.608</v>
          </cell>
          <cell r="AC42">
            <v>103.67221428569999</v>
          </cell>
        </row>
        <row r="43">
          <cell r="A43">
            <v>43678</v>
          </cell>
          <cell r="E43">
            <v>1.4216108328115244</v>
          </cell>
          <cell r="Y43">
            <v>43678</v>
          </cell>
          <cell r="Z43">
            <v>20</v>
          </cell>
          <cell r="AB43">
            <v>103.661</v>
          </cell>
          <cell r="AC43">
            <v>103.6235357143</v>
          </cell>
        </row>
        <row r="44">
          <cell r="A44">
            <v>43709</v>
          </cell>
          <cell r="E44">
            <v>1.3044582007069054</v>
          </cell>
          <cell r="Y44">
            <v>43709</v>
          </cell>
          <cell r="Z44">
            <v>21</v>
          </cell>
          <cell r="AB44">
            <v>103.754</v>
          </cell>
          <cell r="AC44">
            <v>103.78064285710001</v>
          </cell>
        </row>
        <row r="45">
          <cell r="A45">
            <v>43739</v>
          </cell>
          <cell r="E45">
            <v>1.3314489010185679</v>
          </cell>
          <cell r="Y45">
            <v>43739</v>
          </cell>
          <cell r="Z45">
            <v>22</v>
          </cell>
          <cell r="AB45">
            <v>103.961</v>
          </cell>
          <cell r="AC45">
            <v>103.93774999999999</v>
          </cell>
        </row>
        <row r="46">
          <cell r="A46">
            <v>43770</v>
          </cell>
          <cell r="E46">
            <v>1.3319692097827189</v>
          </cell>
          <cell r="Y46">
            <v>43770</v>
          </cell>
          <cell r="Z46">
            <v>23</v>
          </cell>
          <cell r="AB46">
            <v>103.997</v>
          </cell>
          <cell r="AC46">
            <v>104.0948571429</v>
          </cell>
        </row>
        <row r="47">
          <cell r="A47">
            <v>43800</v>
          </cell>
          <cell r="E47">
            <v>1.5394202588095571</v>
          </cell>
          <cell r="Y47">
            <v>43800</v>
          </cell>
          <cell r="Z47">
            <v>24</v>
          </cell>
          <cell r="AB47">
            <v>104.282</v>
          </cell>
          <cell r="AC47">
            <v>104.2519642857</v>
          </cell>
        </row>
        <row r="48">
          <cell r="A48">
            <v>43831</v>
          </cell>
          <cell r="E48">
            <v>1.6979184921237609</v>
          </cell>
          <cell r="Y48">
            <v>43831</v>
          </cell>
          <cell r="Z48">
            <v>25</v>
          </cell>
          <cell r="AB48">
            <v>104.458</v>
          </cell>
          <cell r="AC48">
            <v>104.4090714286</v>
          </cell>
        </row>
        <row r="49">
          <cell r="A49">
            <v>43862</v>
          </cell>
          <cell r="E49">
            <v>1.6420057941708379</v>
          </cell>
          <cell r="Y49">
            <v>43862</v>
          </cell>
          <cell r="Z49">
            <v>26</v>
          </cell>
          <cell r="AB49">
            <v>104.551</v>
          </cell>
          <cell r="AC49">
            <v>104.5661785714</v>
          </cell>
        </row>
        <row r="50">
          <cell r="A50">
            <v>43891</v>
          </cell>
          <cell r="E50">
            <v>1.1469492314857963</v>
          </cell>
          <cell r="Y50">
            <v>43891</v>
          </cell>
          <cell r="Z50">
            <v>27</v>
          </cell>
          <cell r="AB50">
            <v>104.238</v>
          </cell>
          <cell r="AC50">
            <v>103.5963406593</v>
          </cell>
          <cell r="AD50">
            <v>104.723282</v>
          </cell>
        </row>
        <row r="51">
          <cell r="A51">
            <v>43922</v>
          </cell>
          <cell r="E51">
            <v>0.41114045525341864</v>
          </cell>
          <cell r="Y51">
            <v>43922</v>
          </cell>
          <cell r="Z51">
            <v>28</v>
          </cell>
          <cell r="AB51">
            <v>103.79600000000001</v>
          </cell>
          <cell r="AC51">
            <v>103.84748901099999</v>
          </cell>
          <cell r="AD51">
            <v>104.88038899999999</v>
          </cell>
        </row>
        <row r="52">
          <cell r="A52">
            <v>43952</v>
          </cell>
          <cell r="E52">
            <v>0.44862993831338216</v>
          </cell>
          <cell r="Y52">
            <v>43952</v>
          </cell>
          <cell r="Z52">
            <v>29</v>
          </cell>
          <cell r="AB52">
            <v>103.89</v>
          </cell>
          <cell r="AC52">
            <v>104.0986373626</v>
          </cell>
          <cell r="AD52">
            <v>105.037496</v>
          </cell>
        </row>
        <row r="53">
          <cell r="A53">
            <v>43983</v>
          </cell>
          <cell r="E53">
            <v>0.70552532642627652</v>
          </cell>
          <cell r="Y53">
            <v>43983</v>
          </cell>
          <cell r="Z53">
            <v>30</v>
          </cell>
          <cell r="AB53">
            <v>104.199</v>
          </cell>
          <cell r="AC53">
            <v>104.3497857143</v>
          </cell>
          <cell r="AD53">
            <v>105.194603</v>
          </cell>
        </row>
        <row r="54">
          <cell r="A54">
            <v>44013</v>
          </cell>
          <cell r="E54">
            <v>0.90050961315727807</v>
          </cell>
          <cell r="Y54">
            <v>44013</v>
          </cell>
          <cell r="Z54">
            <v>31</v>
          </cell>
          <cell r="AB54">
            <v>104.541</v>
          </cell>
          <cell r="AC54">
            <v>104.60093406590001</v>
          </cell>
          <cell r="AD54">
            <v>105.35171</v>
          </cell>
        </row>
        <row r="55">
          <cell r="A55">
            <v>44044</v>
          </cell>
          <cell r="E55">
            <v>1.1653370119910076</v>
          </cell>
          <cell r="Y55">
            <v>44044</v>
          </cell>
          <cell r="Z55">
            <v>32</v>
          </cell>
          <cell r="AB55">
            <v>104.869</v>
          </cell>
          <cell r="AC55">
            <v>104.8520824176</v>
          </cell>
          <cell r="AD55">
            <v>105.50881699999999</v>
          </cell>
        </row>
        <row r="56">
          <cell r="A56">
            <v>44075</v>
          </cell>
          <cell r="E56">
            <v>1.2471808315823938</v>
          </cell>
          <cell r="Y56">
            <v>44075</v>
          </cell>
          <cell r="Z56">
            <v>33</v>
          </cell>
          <cell r="AB56">
            <v>105.048</v>
          </cell>
          <cell r="AC56">
            <v>105.1032307692</v>
          </cell>
          <cell r="AD56">
            <v>105.66592399999999</v>
          </cell>
        </row>
        <row r="57">
          <cell r="A57">
            <v>44105</v>
          </cell>
          <cell r="E57">
            <v>1.11868873904637</v>
          </cell>
          <cell r="Y57">
            <v>44105</v>
          </cell>
          <cell r="Z57">
            <v>34</v>
          </cell>
          <cell r="AB57">
            <v>105.124</v>
          </cell>
          <cell r="AC57">
            <v>105.35437912090001</v>
          </cell>
          <cell r="AD57">
            <v>105.823031</v>
          </cell>
        </row>
        <row r="58">
          <cell r="A58">
            <v>44136</v>
          </cell>
          <cell r="E58">
            <v>1.1538794388299689</v>
          </cell>
          <cell r="Y58">
            <v>44136</v>
          </cell>
          <cell r="Z58">
            <v>35</v>
          </cell>
          <cell r="AB58">
            <v>105.197</v>
          </cell>
          <cell r="AC58">
            <v>105.6055274725</v>
          </cell>
          <cell r="AD58">
            <v>105.980138</v>
          </cell>
        </row>
        <row r="59">
          <cell r="A59">
            <v>44166</v>
          </cell>
          <cell r="E59">
            <v>1.3664870255652914</v>
          </cell>
          <cell r="Y59">
            <v>44166</v>
          </cell>
          <cell r="Z59">
            <v>36</v>
          </cell>
          <cell r="AB59">
            <v>105.70699999999999</v>
          </cell>
          <cell r="AC59">
            <v>105.8566758242</v>
          </cell>
          <cell r="AD59">
            <v>106.13724499999999</v>
          </cell>
        </row>
        <row r="60">
          <cell r="A60">
            <v>44197</v>
          </cell>
          <cell r="E60">
            <v>1.6150031591644467</v>
          </cell>
          <cell r="Y60">
            <v>44197</v>
          </cell>
          <cell r="Z60">
            <v>37</v>
          </cell>
          <cell r="AB60">
            <v>106.145</v>
          </cell>
          <cell r="AC60">
            <v>106.1078241758</v>
          </cell>
          <cell r="AD60">
            <v>106.294352</v>
          </cell>
        </row>
        <row r="61">
          <cell r="A61">
            <v>44228</v>
          </cell>
          <cell r="E61">
            <v>1.8852043500301323</v>
          </cell>
          <cell r="Y61">
            <v>44228</v>
          </cell>
          <cell r="Z61">
            <v>38</v>
          </cell>
          <cell r="AB61">
            <v>106.52200000000001</v>
          </cell>
          <cell r="AC61">
            <v>106.3589725275</v>
          </cell>
          <cell r="AD61">
            <v>106.451459</v>
          </cell>
        </row>
        <row r="62">
          <cell r="A62">
            <v>44256</v>
          </cell>
          <cell r="E62">
            <v>2.7130221224505489</v>
          </cell>
          <cell r="Y62">
            <v>44256</v>
          </cell>
          <cell r="Z62">
            <v>39</v>
          </cell>
          <cell r="AB62">
            <v>107.066</v>
          </cell>
          <cell r="AC62">
            <v>106.61012087909999</v>
          </cell>
          <cell r="AD62">
            <v>106.608566</v>
          </cell>
        </row>
        <row r="63">
          <cell r="A63">
            <v>44287</v>
          </cell>
          <cell r="E63">
            <v>3.7246136652664839</v>
          </cell>
          <cell r="Y63">
            <v>44287</v>
          </cell>
          <cell r="Z63">
            <v>40</v>
          </cell>
          <cell r="AB63">
            <v>107.66200000000001</v>
          </cell>
          <cell r="AC63">
            <v>107.69960714290001</v>
          </cell>
          <cell r="AD63">
            <v>106.76567299999999</v>
          </cell>
        </row>
        <row r="64">
          <cell r="A64">
            <v>44317</v>
          </cell>
          <cell r="E64">
            <v>4.1553566272018418</v>
          </cell>
          <cell r="Y64">
            <v>44317</v>
          </cell>
          <cell r="Z64">
            <v>41</v>
          </cell>
          <cell r="AB64">
            <v>108.20699999999999</v>
          </cell>
          <cell r="AC64">
            <v>108.2067857143</v>
          </cell>
          <cell r="AD64">
            <v>106.92278</v>
          </cell>
        </row>
        <row r="65">
          <cell r="A65">
            <v>44348</v>
          </cell>
          <cell r="E65">
            <v>4.3724028061689628</v>
          </cell>
          <cell r="Y65">
            <v>44348</v>
          </cell>
          <cell r="Z65">
            <v>42</v>
          </cell>
          <cell r="AB65">
            <v>108.755</v>
          </cell>
          <cell r="AC65">
            <v>108.7139642857</v>
          </cell>
          <cell r="AD65">
            <v>107.079887</v>
          </cell>
        </row>
        <row r="66">
          <cell r="A66">
            <v>44378</v>
          </cell>
          <cell r="E66">
            <v>4.5331496733339112</v>
          </cell>
          <cell r="Y66">
            <v>44378</v>
          </cell>
          <cell r="Z66">
            <v>43</v>
          </cell>
          <cell r="AB66">
            <v>109.28</v>
          </cell>
          <cell r="AC66">
            <v>109.22114285710001</v>
          </cell>
          <cell r="AD66">
            <v>107.236994</v>
          </cell>
        </row>
        <row r="67">
          <cell r="A67">
            <v>44409</v>
          </cell>
          <cell r="E67">
            <v>4.6448426131649914</v>
          </cell>
          <cell r="Y67">
            <v>44409</v>
          </cell>
          <cell r="Z67">
            <v>44</v>
          </cell>
          <cell r="AB67">
            <v>109.74</v>
          </cell>
          <cell r="AC67">
            <v>109.7283214286</v>
          </cell>
          <cell r="AD67">
            <v>107.39410099999999</v>
          </cell>
        </row>
        <row r="68">
          <cell r="A68">
            <v>44440</v>
          </cell>
          <cell r="E68">
            <v>4.8054222831467532</v>
          </cell>
          <cell r="Y68">
            <v>44440</v>
          </cell>
          <cell r="Z68">
            <v>45</v>
          </cell>
          <cell r="AB68">
            <v>110.096</v>
          </cell>
          <cell r="AC68">
            <v>110.2355</v>
          </cell>
          <cell r="AD68">
            <v>107.551208</v>
          </cell>
        </row>
        <row r="69">
          <cell r="A69">
            <v>44470</v>
          </cell>
          <cell r="E69">
            <v>5.4069479852364948</v>
          </cell>
          <cell r="Y69">
            <v>44470</v>
          </cell>
          <cell r="Z69">
            <v>46</v>
          </cell>
          <cell r="AB69">
            <v>110.80800000000001</v>
          </cell>
          <cell r="AC69">
            <v>110.74267857140001</v>
          </cell>
          <cell r="AD69">
            <v>107.708315</v>
          </cell>
        </row>
        <row r="70">
          <cell r="A70">
            <v>44501</v>
          </cell>
          <cell r="E70">
            <v>5.9859121457836224</v>
          </cell>
          <cell r="Y70">
            <v>44501</v>
          </cell>
          <cell r="Z70">
            <v>47</v>
          </cell>
          <cell r="AB70">
            <v>111.494</v>
          </cell>
          <cell r="AC70">
            <v>111.5445357143</v>
          </cell>
          <cell r="AD70">
            <v>107.865422</v>
          </cell>
        </row>
        <row r="71">
          <cell r="A71">
            <v>44531</v>
          </cell>
          <cell r="E71">
            <v>6.1802908038256712</v>
          </cell>
          <cell r="Y71">
            <v>44531</v>
          </cell>
          <cell r="Z71">
            <v>48</v>
          </cell>
          <cell r="AB71">
            <v>112.24</v>
          </cell>
          <cell r="AC71">
            <v>112.2077857143</v>
          </cell>
          <cell r="AD71">
            <v>108.02252899999999</v>
          </cell>
        </row>
        <row r="72">
          <cell r="A72">
            <v>44562</v>
          </cell>
          <cell r="E72">
            <v>6.2970464930048493</v>
          </cell>
          <cell r="Y72">
            <v>44562</v>
          </cell>
          <cell r="Z72">
            <v>49</v>
          </cell>
          <cell r="AB72">
            <v>112.82899999999999</v>
          </cell>
          <cell r="AC72">
            <v>112.87103571430001</v>
          </cell>
          <cell r="AD72">
            <v>108.179636</v>
          </cell>
        </row>
        <row r="73">
          <cell r="A73">
            <v>44593</v>
          </cell>
          <cell r="E73">
            <v>6.5470043746831541</v>
          </cell>
          <cell r="Y73">
            <v>44593</v>
          </cell>
          <cell r="Z73">
            <v>50</v>
          </cell>
          <cell r="AB73">
            <v>113.496</v>
          </cell>
          <cell r="AC73">
            <v>113.5342857143</v>
          </cell>
          <cell r="AD73">
            <v>108.336743</v>
          </cell>
        </row>
        <row r="74">
          <cell r="A74">
            <v>44621</v>
          </cell>
          <cell r="E74">
            <v>6.8929445388825537</v>
          </cell>
          <cell r="Y74">
            <v>44621</v>
          </cell>
          <cell r="Z74">
            <v>51</v>
          </cell>
          <cell r="AB74">
            <v>114.446</v>
          </cell>
          <cell r="AC74">
            <v>114.1975357143</v>
          </cell>
          <cell r="AD74">
            <v>108.49384999999999</v>
          </cell>
        </row>
        <row r="75">
          <cell r="A75">
            <v>44652</v>
          </cell>
          <cell r="E75">
            <v>6.619791569913243</v>
          </cell>
          <cell r="F75">
            <v>52</v>
          </cell>
          <cell r="I75">
            <v>7.3716080948</v>
          </cell>
          <cell r="Y75">
            <v>44652</v>
          </cell>
          <cell r="Z75">
            <v>52</v>
          </cell>
          <cell r="AB75">
            <v>114.789</v>
          </cell>
          <cell r="AC75">
            <v>114.86078571429999</v>
          </cell>
          <cell r="AD75">
            <v>108.65095699999999</v>
          </cell>
        </row>
        <row r="76">
          <cell r="A76">
            <v>44682</v>
          </cell>
          <cell r="E76">
            <v>6.6899553633313973</v>
          </cell>
          <cell r="F76">
            <v>53</v>
          </cell>
          <cell r="I76">
            <v>7.1228353787999996</v>
          </cell>
          <cell r="Y76">
            <v>44682</v>
          </cell>
          <cell r="Z76">
            <v>53</v>
          </cell>
          <cell r="AB76">
            <v>115.446</v>
          </cell>
          <cell r="AC76">
            <v>115.5240357143</v>
          </cell>
          <cell r="AD76">
            <v>108.808064</v>
          </cell>
        </row>
        <row r="77">
          <cell r="A77">
            <v>44713</v>
          </cell>
          <cell r="E77">
            <v>7.1169141648659915</v>
          </cell>
          <cell r="F77">
            <v>54</v>
          </cell>
          <cell r="I77">
            <v>6.8740626629000001</v>
          </cell>
          <cell r="Y77">
            <v>44713</v>
          </cell>
          <cell r="Z77">
            <v>54</v>
          </cell>
          <cell r="AB77">
            <v>116.495</v>
          </cell>
          <cell r="AC77">
            <v>116.28154545450001</v>
          </cell>
          <cell r="AD77">
            <v>108.965171</v>
          </cell>
        </row>
        <row r="78">
          <cell r="A78">
            <v>44743</v>
          </cell>
          <cell r="E78">
            <v>6.616947291361635</v>
          </cell>
          <cell r="F78">
            <v>55</v>
          </cell>
          <cell r="I78">
            <v>6.6252899468999997</v>
          </cell>
          <cell r="Y78">
            <v>44743</v>
          </cell>
          <cell r="Z78">
            <v>55</v>
          </cell>
          <cell r="AB78">
            <v>116.511</v>
          </cell>
          <cell r="AC78">
            <v>116.6493090909</v>
          </cell>
          <cell r="AD78">
            <v>109.12227799999999</v>
          </cell>
        </row>
        <row r="79">
          <cell r="A79">
            <v>44774</v>
          </cell>
          <cell r="E79">
            <v>6.5154000364497957</v>
          </cell>
          <cell r="F79">
            <v>56</v>
          </cell>
          <cell r="I79">
            <v>6.3765172309000002</v>
          </cell>
          <cell r="Y79">
            <v>44774</v>
          </cell>
          <cell r="Z79">
            <v>56</v>
          </cell>
          <cell r="AB79">
            <v>116.89</v>
          </cell>
          <cell r="AC79">
            <v>117.0170727273</v>
          </cell>
          <cell r="AD79">
            <v>109.27938499999999</v>
          </cell>
        </row>
        <row r="80">
          <cell r="A80">
            <v>44805</v>
          </cell>
          <cell r="E80">
            <v>6.5560964976020832</v>
          </cell>
          <cell r="F80">
            <v>57</v>
          </cell>
          <cell r="I80">
            <v>6.1277445149999998</v>
          </cell>
          <cell r="Y80">
            <v>44805</v>
          </cell>
          <cell r="Z80">
            <v>57</v>
          </cell>
          <cell r="AB80">
            <v>117.31399999999999</v>
          </cell>
          <cell r="AC80">
            <v>117.3848363636</v>
          </cell>
          <cell r="AD80">
            <v>109.436492</v>
          </cell>
        </row>
        <row r="81">
          <cell r="A81">
            <v>44835</v>
          </cell>
          <cell r="E81">
            <v>6.3479171178976168</v>
          </cell>
          <cell r="F81">
            <v>58</v>
          </cell>
          <cell r="I81">
            <v>5.8789717990000003</v>
          </cell>
          <cell r="Y81">
            <v>44835</v>
          </cell>
          <cell r="Z81">
            <v>58</v>
          </cell>
          <cell r="AB81">
            <v>117.842</v>
          </cell>
          <cell r="AC81">
            <v>117.7526</v>
          </cell>
          <cell r="AD81">
            <v>109.593599</v>
          </cell>
        </row>
        <row r="82">
          <cell r="A82">
            <v>44866</v>
          </cell>
          <cell r="E82">
            <v>5.9285701472724988</v>
          </cell>
          <cell r="F82">
            <v>59</v>
          </cell>
          <cell r="I82">
            <v>5.6301990830999999</v>
          </cell>
          <cell r="Y82">
            <v>44866</v>
          </cell>
          <cell r="Z82">
            <v>59</v>
          </cell>
          <cell r="AB82">
            <v>118.104</v>
          </cell>
          <cell r="AC82">
            <v>118.1203636364</v>
          </cell>
          <cell r="AD82">
            <v>109.75070599999999</v>
          </cell>
        </row>
        <row r="83">
          <cell r="A83">
            <v>44896</v>
          </cell>
          <cell r="E83">
            <v>5.441910192444765</v>
          </cell>
          <cell r="F83">
            <v>60</v>
          </cell>
          <cell r="I83">
            <v>5.3814263671000004</v>
          </cell>
          <cell r="Y83">
            <v>44896</v>
          </cell>
          <cell r="Z83">
            <v>60</v>
          </cell>
          <cell r="AB83">
            <v>118.348</v>
          </cell>
          <cell r="AC83">
            <v>118.4881272727</v>
          </cell>
          <cell r="AD83">
            <v>109.907813</v>
          </cell>
        </row>
        <row r="84">
          <cell r="A84">
            <v>44927</v>
          </cell>
          <cell r="E84">
            <v>5.4790878231660329</v>
          </cell>
          <cell r="F84">
            <v>61</v>
          </cell>
          <cell r="I84">
            <v>5.1326536511</v>
          </cell>
          <cell r="Y84">
            <v>44927</v>
          </cell>
          <cell r="Z84">
            <v>61</v>
          </cell>
          <cell r="AB84">
            <v>119.011</v>
          </cell>
          <cell r="AC84">
            <v>118.8558909091</v>
          </cell>
          <cell r="AD84">
            <v>110.06492</v>
          </cell>
        </row>
        <row r="85">
          <cell r="A85">
            <v>44958</v>
          </cell>
          <cell r="E85">
            <v>5.1896102065271021</v>
          </cell>
          <cell r="F85">
            <v>62</v>
          </cell>
          <cell r="I85">
            <v>4.8838809351999997</v>
          </cell>
          <cell r="Y85">
            <v>44958</v>
          </cell>
          <cell r="Z85">
            <v>62</v>
          </cell>
          <cell r="AB85">
            <v>119.386</v>
          </cell>
          <cell r="AC85">
            <v>119.2236545455</v>
          </cell>
          <cell r="AD85">
            <v>110.222027</v>
          </cell>
        </row>
        <row r="86">
          <cell r="A86">
            <v>44986</v>
          </cell>
          <cell r="E86">
            <v>4.4422697167222998</v>
          </cell>
          <cell r="F86">
            <v>63</v>
          </cell>
          <cell r="I86">
            <v>4.6351082192000002</v>
          </cell>
          <cell r="Y86">
            <v>44986</v>
          </cell>
          <cell r="Z86">
            <v>63</v>
          </cell>
          <cell r="AB86">
            <v>119.53</v>
          </cell>
          <cell r="AC86">
            <v>119.59141818179999</v>
          </cell>
          <cell r="AD86">
            <v>110.37913399999999</v>
          </cell>
        </row>
        <row r="87">
          <cell r="A87">
            <v>45017</v>
          </cell>
          <cell r="E87">
            <v>4.4464190819677833</v>
          </cell>
          <cell r="F87">
            <v>64</v>
          </cell>
          <cell r="I87">
            <v>4.3863355031999998</v>
          </cell>
          <cell r="Y87">
            <v>45017</v>
          </cell>
          <cell r="Z87">
            <v>64</v>
          </cell>
          <cell r="AB87">
            <v>119.893</v>
          </cell>
          <cell r="AC87">
            <v>119.95918181819999</v>
          </cell>
          <cell r="AD87">
            <v>110.53624099999999</v>
          </cell>
        </row>
        <row r="88">
          <cell r="A88">
            <v>45047</v>
          </cell>
          <cell r="E88">
            <v>3.9620255357483138</v>
          </cell>
          <cell r="F88">
            <v>65</v>
          </cell>
          <cell r="I88">
            <v>4.1375627873000003</v>
          </cell>
          <cell r="Y88">
            <v>45047</v>
          </cell>
          <cell r="Z88">
            <v>65</v>
          </cell>
          <cell r="AB88">
            <v>120.02</v>
          </cell>
          <cell r="AC88">
            <v>120.0297142857</v>
          </cell>
          <cell r="AD88">
            <v>110.693348</v>
          </cell>
        </row>
        <row r="89">
          <cell r="A89">
            <v>45078</v>
          </cell>
          <cell r="E89">
            <v>3.1984205330700881</v>
          </cell>
          <cell r="F89">
            <v>66</v>
          </cell>
          <cell r="I89">
            <v>3.8887900712999999</v>
          </cell>
          <cell r="Y89">
            <v>45078</v>
          </cell>
          <cell r="Z89">
            <v>66</v>
          </cell>
          <cell r="AB89">
            <v>120.221</v>
          </cell>
          <cell r="AC89">
            <v>120.2681428571</v>
          </cell>
          <cell r="AD89">
            <v>110.850455</v>
          </cell>
        </row>
        <row r="90">
          <cell r="A90">
            <v>45108</v>
          </cell>
          <cell r="E90">
            <v>3.3147084824608912</v>
          </cell>
          <cell r="F90">
            <v>67</v>
          </cell>
          <cell r="I90">
            <v>3.6400173553999999</v>
          </cell>
          <cell r="Y90">
            <v>45108</v>
          </cell>
          <cell r="Z90">
            <v>67</v>
          </cell>
          <cell r="AB90">
            <v>120.373</v>
          </cell>
          <cell r="AC90">
            <v>120.5065714286</v>
          </cell>
          <cell r="AD90">
            <v>111.00756199999999</v>
          </cell>
        </row>
        <row r="91">
          <cell r="A91">
            <v>45139</v>
          </cell>
          <cell r="E91">
            <v>3.3475917529301022</v>
          </cell>
          <cell r="F91">
            <v>68</v>
          </cell>
          <cell r="I91">
            <v>3.3912446394</v>
          </cell>
          <cell r="Y91">
            <v>45139</v>
          </cell>
          <cell r="Z91">
            <v>68</v>
          </cell>
          <cell r="AB91">
            <v>120.803</v>
          </cell>
          <cell r="AC91">
            <v>120.745</v>
          </cell>
          <cell r="AD91">
            <v>111.164669</v>
          </cell>
        </row>
        <row r="92">
          <cell r="A92">
            <v>45170</v>
          </cell>
          <cell r="E92">
            <v>3.369589307329051</v>
          </cell>
          <cell r="F92">
            <v>69</v>
          </cell>
          <cell r="I92">
            <v>3.1424719234</v>
          </cell>
          <cell r="Y92">
            <v>45170</v>
          </cell>
          <cell r="Z92">
            <v>69</v>
          </cell>
          <cell r="AB92">
            <v>121.267</v>
          </cell>
          <cell r="AC92">
            <v>120.9834285714</v>
          </cell>
          <cell r="AD92">
            <v>111.321776</v>
          </cell>
        </row>
        <row r="93">
          <cell r="A93">
            <v>45200</v>
          </cell>
          <cell r="E93">
            <v>2.9420749817552307</v>
          </cell>
          <cell r="F93">
            <v>70</v>
          </cell>
          <cell r="I93">
            <v>2.8936992075000001</v>
          </cell>
          <cell r="Y93">
            <v>45200</v>
          </cell>
          <cell r="Z93">
            <v>70</v>
          </cell>
          <cell r="AB93">
            <v>121.309</v>
          </cell>
          <cell r="AC93">
            <v>121.22185714290001</v>
          </cell>
          <cell r="AD93">
            <v>111.478883</v>
          </cell>
        </row>
        <row r="94">
          <cell r="A94">
            <v>45231</v>
          </cell>
          <cell r="E94">
            <v>2.6400460610986887</v>
          </cell>
          <cell r="F94">
            <v>71</v>
          </cell>
          <cell r="I94">
            <v>2.6449264915000001</v>
          </cell>
          <cell r="Y94">
            <v>45231</v>
          </cell>
          <cell r="Z94">
            <v>71</v>
          </cell>
          <cell r="AB94">
            <v>121.22199999999999</v>
          </cell>
          <cell r="AC94">
            <v>121.4602857143</v>
          </cell>
          <cell r="AD94">
            <v>111.63598999999999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2C6E-D20D-4B1D-8F7F-EFFF708B310C}">
  <dimension ref="A1:L123"/>
  <sheetViews>
    <sheetView topLeftCell="A102" workbookViewId="0">
      <selection activeCell="K120" sqref="K120"/>
    </sheetView>
  </sheetViews>
  <sheetFormatPr defaultRowHeight="13.2"/>
  <cols>
    <col min="1" max="1" width="10.109375" customWidth="1"/>
    <col min="2" max="2" width="8.88671875" customWidth="1"/>
    <col min="5" max="6" width="4.5546875" bestFit="1" customWidth="1"/>
  </cols>
  <sheetData>
    <row r="1" spans="1:3" s="38" customFormat="1">
      <c r="A1" s="38" t="s">
        <v>0</v>
      </c>
    </row>
    <row r="2" spans="1:3" s="38" customFormat="1">
      <c r="A2" s="38" t="s">
        <v>302</v>
      </c>
    </row>
    <row r="3" spans="1:3" s="38" customFormat="1">
      <c r="A3" s="38" t="s">
        <v>2</v>
      </c>
    </row>
    <row r="4" spans="1:3" s="38" customFormat="1">
      <c r="A4" s="38" t="s">
        <v>3</v>
      </c>
    </row>
    <row r="5" spans="1:3" s="38" customFormat="1">
      <c r="A5" s="38" t="s">
        <v>303</v>
      </c>
    </row>
    <row r="6" spans="1:3" s="38" customFormat="1">
      <c r="A6" s="38" t="s">
        <v>488</v>
      </c>
    </row>
    <row r="7" spans="1:3" s="38" customFormat="1"/>
    <row r="8" spans="1:3" s="38" customFormat="1">
      <c r="A8" s="38" t="s">
        <v>6</v>
      </c>
      <c r="B8" s="38" t="s">
        <v>7</v>
      </c>
      <c r="C8" s="38" t="s">
        <v>489</v>
      </c>
    </row>
    <row r="11" spans="1:3" ht="15">
      <c r="A11" s="46" t="s">
        <v>480</v>
      </c>
      <c r="B11" s="46" t="s">
        <v>6</v>
      </c>
    </row>
    <row r="12" spans="1:3">
      <c r="A12" s="32">
        <v>42736</v>
      </c>
      <c r="B12" s="33">
        <v>99.450999999999993</v>
      </c>
    </row>
    <row r="13" spans="1:3">
      <c r="A13" s="32">
        <v>42767</v>
      </c>
      <c r="B13" s="33">
        <v>99.585999999999999</v>
      </c>
    </row>
    <row r="14" spans="1:3">
      <c r="A14" s="32">
        <v>42795</v>
      </c>
      <c r="B14" s="33">
        <v>99.534999999999997</v>
      </c>
    </row>
    <row r="15" spans="1:3">
      <c r="A15" s="32">
        <v>42826</v>
      </c>
      <c r="B15" s="33">
        <v>99.724999999999994</v>
      </c>
    </row>
    <row r="16" spans="1:3">
      <c r="A16" s="32">
        <v>42856</v>
      </c>
      <c r="B16" s="33">
        <v>99.682000000000002</v>
      </c>
    </row>
    <row r="17" spans="1:9">
      <c r="A17" s="32">
        <v>42887</v>
      </c>
      <c r="B17" s="33">
        <v>99.766000000000005</v>
      </c>
    </row>
    <row r="18" spans="1:9">
      <c r="A18" s="32">
        <v>42917</v>
      </c>
      <c r="B18" s="33">
        <v>99.802999999999997</v>
      </c>
    </row>
    <row r="19" spans="1:9">
      <c r="A19" s="32">
        <v>42948</v>
      </c>
      <c r="B19" s="33">
        <v>100.027</v>
      </c>
    </row>
    <row r="20" spans="1:9">
      <c r="A20" s="32">
        <v>42979</v>
      </c>
      <c r="B20" s="33">
        <v>100.4</v>
      </c>
    </row>
    <row r="21" spans="1:9">
      <c r="A21" s="32">
        <v>43009</v>
      </c>
      <c r="B21" s="33">
        <v>100.53100000000001</v>
      </c>
    </row>
    <row r="22" spans="1:9">
      <c r="A22" s="32">
        <v>43040</v>
      </c>
      <c r="B22" s="33">
        <v>100.675</v>
      </c>
    </row>
    <row r="23" spans="1:9" ht="13.8">
      <c r="A23" s="32">
        <v>43070</v>
      </c>
      <c r="B23" s="33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>
      <c r="A24" s="10">
        <v>43101</v>
      </c>
      <c r="B24" s="33">
        <v>101.199</v>
      </c>
      <c r="C24" s="31">
        <v>1</v>
      </c>
      <c r="D24" s="31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472</v>
      </c>
    </row>
    <row r="25" spans="1:9">
      <c r="A25" s="10">
        <v>43132</v>
      </c>
      <c r="B25" s="33">
        <v>101.416</v>
      </c>
      <c r="C25" s="31">
        <v>2</v>
      </c>
      <c r="D25" s="31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481</v>
      </c>
    </row>
    <row r="26" spans="1:9">
      <c r="A26" s="10">
        <v>43160</v>
      </c>
      <c r="B26" s="33">
        <v>101.524</v>
      </c>
      <c r="C26" s="31">
        <v>3</v>
      </c>
      <c r="D26" s="31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10">
        <v>43191</v>
      </c>
      <c r="B27" s="33">
        <v>101.76600000000001</v>
      </c>
      <c r="C27" s="31">
        <v>4</v>
      </c>
      <c r="D27" s="31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10">
        <v>43221</v>
      </c>
      <c r="B28" s="33">
        <v>101.941</v>
      </c>
      <c r="C28" s="31">
        <v>5</v>
      </c>
      <c r="D28" s="31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16">
        <v>43252</v>
      </c>
      <c r="B29" s="33">
        <v>102.029</v>
      </c>
      <c r="C29" s="31">
        <v>6</v>
      </c>
      <c r="D29" s="31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>
      <c r="A30" s="10">
        <v>43282</v>
      </c>
      <c r="B30" s="33">
        <v>102.137</v>
      </c>
      <c r="C30" s="31">
        <v>7</v>
      </c>
      <c r="D30" s="31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10">
        <v>43313</v>
      </c>
      <c r="B31" s="33">
        <v>102.208</v>
      </c>
      <c r="C31" s="31">
        <v>8</v>
      </c>
      <c r="D31" s="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10">
        <v>43344</v>
      </c>
      <c r="B32" s="33">
        <v>102.41800000000001</v>
      </c>
      <c r="C32" s="31">
        <v>9</v>
      </c>
      <c r="D32" s="31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10">
        <v>43374</v>
      </c>
      <c r="B33" s="33">
        <v>102.595</v>
      </c>
      <c r="C33" s="31">
        <v>10</v>
      </c>
      <c r="D33" s="31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10">
        <v>43405</v>
      </c>
      <c r="B34" s="33">
        <v>102.63</v>
      </c>
      <c r="C34" s="31">
        <v>11</v>
      </c>
      <c r="D34" s="31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10">
        <v>43435</v>
      </c>
      <c r="B35" s="33">
        <v>102.70099999999999</v>
      </c>
      <c r="C35" s="31">
        <v>12</v>
      </c>
      <c r="D35" s="31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16">
        <v>43466</v>
      </c>
      <c r="B36" s="33">
        <v>102.648</v>
      </c>
      <c r="C36" s="31">
        <v>13</v>
      </c>
      <c r="D36" s="31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>
      <c r="A37" s="10">
        <v>43497</v>
      </c>
      <c r="B37" s="33">
        <v>102.836</v>
      </c>
      <c r="C37" s="31">
        <v>14</v>
      </c>
      <c r="D37" s="31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>
      <c r="A38" s="10">
        <v>43525</v>
      </c>
      <c r="B38" s="33">
        <v>103.069</v>
      </c>
      <c r="C38" s="31">
        <v>15</v>
      </c>
      <c r="D38" s="31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>
      <c r="A39" s="10">
        <v>43556</v>
      </c>
      <c r="B39" s="33">
        <v>103.36</v>
      </c>
      <c r="C39" s="31">
        <v>16</v>
      </c>
      <c r="D39" s="31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>
      <c r="A40" s="10">
        <v>43586</v>
      </c>
      <c r="B40" s="33">
        <v>103.435</v>
      </c>
      <c r="C40" s="31">
        <v>17</v>
      </c>
      <c r="D40" s="31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>
      <c r="A41" s="16">
        <v>43617</v>
      </c>
      <c r="B41" s="33">
        <v>103.48399999999999</v>
      </c>
      <c r="C41" s="31">
        <v>18</v>
      </c>
      <c r="D41" s="31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>
      <c r="A42" s="10">
        <v>43647</v>
      </c>
      <c r="B42" s="33">
        <v>103.622</v>
      </c>
      <c r="C42" s="31">
        <v>19</v>
      </c>
      <c r="D42" s="31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>
      <c r="A43" s="10">
        <v>43678</v>
      </c>
      <c r="B43" s="33">
        <v>103.67</v>
      </c>
      <c r="C43" s="31">
        <v>20</v>
      </c>
      <c r="D43" s="31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>
      <c r="A44" s="10">
        <v>43709</v>
      </c>
      <c r="B44" s="33">
        <v>103.733</v>
      </c>
      <c r="C44" s="31">
        <v>21</v>
      </c>
      <c r="D44" s="31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>
      <c r="A45" s="10">
        <v>43739</v>
      </c>
      <c r="B45" s="33">
        <v>103.917</v>
      </c>
      <c r="C45" s="31">
        <v>22</v>
      </c>
      <c r="D45" s="31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>
      <c r="A46" s="16">
        <v>43770</v>
      </c>
      <c r="B46" s="33">
        <v>104.024</v>
      </c>
      <c r="C46" s="31">
        <v>23</v>
      </c>
      <c r="D46" s="31">
        <f t="shared" si="0"/>
        <v>1.3582773068303668</v>
      </c>
      <c r="E46">
        <v>23</v>
      </c>
      <c r="F46">
        <v>23</v>
      </c>
      <c r="G46">
        <v>1.358277307</v>
      </c>
      <c r="H46">
        <v>1.7470874236</v>
      </c>
      <c r="I46" t="s">
        <v>223</v>
      </c>
    </row>
    <row r="47" spans="1:9">
      <c r="A47" s="10">
        <v>43800</v>
      </c>
      <c r="B47" s="33">
        <v>104.307</v>
      </c>
      <c r="C47" s="31">
        <v>24</v>
      </c>
      <c r="D47" s="31">
        <f t="shared" si="0"/>
        <v>1.5637627676458932</v>
      </c>
      <c r="E47">
        <v>24</v>
      </c>
      <c r="F47">
        <v>24</v>
      </c>
      <c r="G47">
        <v>1.5637627679999999</v>
      </c>
      <c r="H47">
        <v>1.5794906720999999</v>
      </c>
      <c r="I47" t="s">
        <v>224</v>
      </c>
    </row>
    <row r="48" spans="1:9">
      <c r="A48" s="10">
        <v>43831</v>
      </c>
      <c r="B48" s="33">
        <v>104.49</v>
      </c>
      <c r="C48" s="31">
        <v>25</v>
      </c>
      <c r="D48" s="31">
        <f t="shared" si="0"/>
        <v>1.7944821136310487</v>
      </c>
      <c r="E48">
        <v>25</v>
      </c>
      <c r="F48">
        <v>25</v>
      </c>
      <c r="G48">
        <v>1.794482114</v>
      </c>
      <c r="H48">
        <v>1.4118939205000001</v>
      </c>
      <c r="I48" t="s">
        <v>225</v>
      </c>
    </row>
    <row r="49" spans="1:9">
      <c r="A49" s="10">
        <v>43862</v>
      </c>
      <c r="B49" s="33">
        <v>104.57299999999999</v>
      </c>
      <c r="C49" s="31">
        <v>26</v>
      </c>
      <c r="D49" s="31">
        <f t="shared" si="0"/>
        <v>1.6890972033140095</v>
      </c>
      <c r="E49">
        <v>26</v>
      </c>
      <c r="F49">
        <v>26</v>
      </c>
      <c r="G49">
        <v>1.689097203</v>
      </c>
      <c r="H49">
        <v>1.244297169</v>
      </c>
      <c r="I49" t="s">
        <v>226</v>
      </c>
    </row>
    <row r="50" spans="1:9">
      <c r="A50" s="10">
        <v>43891</v>
      </c>
      <c r="B50" s="33">
        <v>104.271</v>
      </c>
      <c r="C50" s="31">
        <v>27</v>
      </c>
      <c r="D50" s="31">
        <f t="shared" si="0"/>
        <v>1.1662090444265474</v>
      </c>
      <c r="E50">
        <v>27</v>
      </c>
      <c r="F50">
        <v>27</v>
      </c>
      <c r="G50">
        <v>1.1662090439999999</v>
      </c>
      <c r="H50">
        <v>1.0767004174999999</v>
      </c>
      <c r="I50" t="s">
        <v>227</v>
      </c>
    </row>
    <row r="51" spans="1:9">
      <c r="A51" s="10">
        <v>43922</v>
      </c>
      <c r="B51" s="33">
        <v>103.83799999999999</v>
      </c>
      <c r="C51" s="31">
        <v>28</v>
      </c>
      <c r="D51" s="31">
        <f t="shared" si="0"/>
        <v>0.46246130030959215</v>
      </c>
      <c r="E51">
        <v>28</v>
      </c>
      <c r="F51">
        <v>28</v>
      </c>
      <c r="G51">
        <v>0.46246130000000002</v>
      </c>
      <c r="H51">
        <v>0.90910366600000003</v>
      </c>
      <c r="I51" t="s">
        <v>228</v>
      </c>
    </row>
    <row r="52" spans="1:9">
      <c r="A52" s="10">
        <v>43952</v>
      </c>
      <c r="B52" s="33">
        <v>103.94199999999999</v>
      </c>
      <c r="C52" s="31">
        <v>29</v>
      </c>
      <c r="D52" s="31">
        <f t="shared" si="0"/>
        <v>0.49016290423936848</v>
      </c>
      <c r="E52">
        <v>29</v>
      </c>
      <c r="F52">
        <v>29</v>
      </c>
      <c r="G52">
        <v>0.49016290400000001</v>
      </c>
      <c r="H52">
        <v>0.74150691440000005</v>
      </c>
      <c r="I52" t="s">
        <v>229</v>
      </c>
    </row>
    <row r="53" spans="1:9">
      <c r="A53" s="10">
        <v>43983</v>
      </c>
      <c r="B53" s="33">
        <v>104.27</v>
      </c>
      <c r="C53" s="31">
        <v>30</v>
      </c>
      <c r="D53" s="31">
        <f t="shared" si="0"/>
        <v>0.75953770631208828</v>
      </c>
      <c r="E53">
        <v>30</v>
      </c>
      <c r="F53">
        <v>30</v>
      </c>
      <c r="G53">
        <v>0.75953770600000003</v>
      </c>
      <c r="H53">
        <v>0.57391016289999996</v>
      </c>
      <c r="I53" t="s">
        <v>230</v>
      </c>
    </row>
    <row r="54" spans="1:9">
      <c r="A54" s="16">
        <v>44013</v>
      </c>
      <c r="B54" s="33">
        <v>104.578</v>
      </c>
      <c r="C54" s="31">
        <v>31</v>
      </c>
      <c r="D54" s="31">
        <f t="shared" si="0"/>
        <v>0.92258400725714917</v>
      </c>
      <c r="E54">
        <v>31</v>
      </c>
      <c r="F54">
        <v>31</v>
      </c>
      <c r="G54">
        <v>0.92258400699999998</v>
      </c>
      <c r="H54">
        <v>0.94683608340000003</v>
      </c>
      <c r="I54" t="s">
        <v>386</v>
      </c>
    </row>
    <row r="55" spans="1:9">
      <c r="A55" s="10">
        <v>44044</v>
      </c>
      <c r="B55" s="33">
        <v>104.87</v>
      </c>
      <c r="C55" s="31">
        <v>32</v>
      </c>
      <c r="D55" s="31">
        <f t="shared" si="0"/>
        <v>1.1575190508343811</v>
      </c>
      <c r="E55">
        <v>32</v>
      </c>
      <c r="F55">
        <v>32</v>
      </c>
      <c r="G55">
        <v>1.157519051</v>
      </c>
      <c r="H55">
        <v>1.0510707502000001</v>
      </c>
      <c r="I55" t="s">
        <v>387</v>
      </c>
    </row>
    <row r="56" spans="1:9">
      <c r="A56" s="10">
        <v>44075</v>
      </c>
      <c r="B56" s="33">
        <v>105.057</v>
      </c>
      <c r="C56" s="31">
        <v>33</v>
      </c>
      <c r="D56" s="31">
        <f t="shared" si="0"/>
        <v>1.2763537157895732</v>
      </c>
      <c r="E56">
        <v>33</v>
      </c>
      <c r="F56">
        <v>33</v>
      </c>
      <c r="G56">
        <v>1.276353716</v>
      </c>
      <c r="H56">
        <v>1.1553054169999999</v>
      </c>
      <c r="I56" t="s">
        <v>388</v>
      </c>
    </row>
    <row r="57" spans="1:9">
      <c r="A57" s="10">
        <v>44105</v>
      </c>
      <c r="B57" s="33">
        <v>105.151</v>
      </c>
      <c r="C57" s="31">
        <v>34</v>
      </c>
      <c r="D57" s="31">
        <f t="shared" si="0"/>
        <v>1.1874861668446881</v>
      </c>
      <c r="E57">
        <v>34</v>
      </c>
      <c r="F57">
        <v>34</v>
      </c>
      <c r="G57">
        <v>1.1874861670000001</v>
      </c>
      <c r="H57">
        <v>1.2595400836999999</v>
      </c>
      <c r="I57" t="s">
        <v>234</v>
      </c>
    </row>
    <row r="58" spans="1:9">
      <c r="A58" s="10">
        <v>44136</v>
      </c>
      <c r="B58" s="33">
        <v>105.258</v>
      </c>
      <c r="C58" s="31">
        <v>35</v>
      </c>
      <c r="D58" s="31">
        <f t="shared" si="0"/>
        <v>1.1862647081442692</v>
      </c>
      <c r="E58">
        <v>35</v>
      </c>
      <c r="F58">
        <v>35</v>
      </c>
      <c r="G58">
        <v>1.1862647079999999</v>
      </c>
      <c r="H58">
        <v>1.3637747505</v>
      </c>
      <c r="I58" t="s">
        <v>109</v>
      </c>
    </row>
    <row r="59" spans="1:9">
      <c r="A59" s="10">
        <v>44166</v>
      </c>
      <c r="B59" s="33">
        <v>105.699</v>
      </c>
      <c r="C59" s="31">
        <v>36</v>
      </c>
      <c r="D59" s="31">
        <f t="shared" si="0"/>
        <v>1.3345221317840565</v>
      </c>
      <c r="E59">
        <v>36</v>
      </c>
      <c r="F59">
        <v>36</v>
      </c>
      <c r="G59">
        <v>1.334522132</v>
      </c>
      <c r="H59">
        <v>1.4680094173</v>
      </c>
      <c r="I59" t="s">
        <v>389</v>
      </c>
    </row>
    <row r="60" spans="1:9">
      <c r="A60" s="10">
        <v>44197</v>
      </c>
      <c r="B60" s="33">
        <v>106.14700000000001</v>
      </c>
      <c r="C60" s="31">
        <v>37</v>
      </c>
      <c r="D60" s="31">
        <f t="shared" si="0"/>
        <v>1.5857976839889087</v>
      </c>
      <c r="E60">
        <v>37</v>
      </c>
      <c r="F60">
        <v>37</v>
      </c>
      <c r="G60">
        <v>1.5857976840000001</v>
      </c>
      <c r="H60">
        <v>1.5722440841</v>
      </c>
      <c r="I60" t="s">
        <v>390</v>
      </c>
    </row>
    <row r="61" spans="1:9">
      <c r="A61" s="10">
        <v>44228</v>
      </c>
      <c r="B61" s="33">
        <v>106.5</v>
      </c>
      <c r="C61" s="31">
        <v>38</v>
      </c>
      <c r="D61" s="31">
        <f t="shared" si="0"/>
        <v>1.8427318715155985</v>
      </c>
      <c r="E61">
        <v>38</v>
      </c>
      <c r="F61">
        <v>38</v>
      </c>
      <c r="G61">
        <v>1.8427318720000001</v>
      </c>
      <c r="H61">
        <v>1.6764787508000001</v>
      </c>
      <c r="I61" t="s">
        <v>391</v>
      </c>
    </row>
    <row r="62" spans="1:9">
      <c r="A62" s="16">
        <v>44256</v>
      </c>
      <c r="B62" s="33">
        <v>107.054</v>
      </c>
      <c r="C62" s="31">
        <v>39</v>
      </c>
      <c r="D62" s="31">
        <f t="shared" si="0"/>
        <v>2.6690067228663783</v>
      </c>
      <c r="E62">
        <v>39</v>
      </c>
      <c r="F62">
        <v>39</v>
      </c>
      <c r="G62">
        <v>2.6690067229999999</v>
      </c>
      <c r="H62">
        <v>2.9773678308</v>
      </c>
      <c r="I62" t="s">
        <v>238</v>
      </c>
    </row>
    <row r="63" spans="1:9">
      <c r="A63" s="10">
        <v>44287</v>
      </c>
      <c r="B63" s="33">
        <v>107.61799999999999</v>
      </c>
      <c r="C63" s="31">
        <v>40</v>
      </c>
      <c r="D63" s="31">
        <f t="shared" si="0"/>
        <v>3.6402858298503453</v>
      </c>
      <c r="E63">
        <v>40</v>
      </c>
      <c r="F63">
        <v>40</v>
      </c>
      <c r="G63">
        <v>3.6402858299999998</v>
      </c>
      <c r="H63">
        <v>3.4047939680999999</v>
      </c>
      <c r="I63" t="s">
        <v>110</v>
      </c>
    </row>
    <row r="64" spans="1:9">
      <c r="A64" s="10">
        <v>44317</v>
      </c>
      <c r="B64" s="33">
        <v>108.175</v>
      </c>
      <c r="C64" s="31">
        <v>41</v>
      </c>
      <c r="D64" s="31">
        <f t="shared" si="0"/>
        <v>4.072463489253626</v>
      </c>
      <c r="E64">
        <v>41</v>
      </c>
      <c r="F64">
        <v>41</v>
      </c>
      <c r="G64">
        <v>4.0724634890000004</v>
      </c>
      <c r="H64">
        <v>3.8322201053999998</v>
      </c>
      <c r="I64" t="s">
        <v>392</v>
      </c>
    </row>
    <row r="65" spans="1:9">
      <c r="A65" s="10">
        <v>44348</v>
      </c>
      <c r="B65" s="33">
        <v>108.76</v>
      </c>
      <c r="C65" s="31">
        <v>42</v>
      </c>
      <c r="D65" s="31">
        <f t="shared" si="0"/>
        <v>4.3061283207058683</v>
      </c>
      <c r="E65">
        <v>42</v>
      </c>
      <c r="F65">
        <v>42</v>
      </c>
      <c r="G65">
        <v>4.3061283210000001</v>
      </c>
      <c r="H65">
        <v>4.2596462426999997</v>
      </c>
      <c r="I65" t="s">
        <v>393</v>
      </c>
    </row>
    <row r="66" spans="1:9">
      <c r="A66" s="10">
        <v>44378</v>
      </c>
      <c r="B66" s="33">
        <v>109.256</v>
      </c>
      <c r="C66" s="31">
        <v>43</v>
      </c>
      <c r="D66" s="31">
        <f t="shared" si="0"/>
        <v>4.4732161640115482</v>
      </c>
      <c r="E66">
        <v>43</v>
      </c>
      <c r="F66">
        <v>43</v>
      </c>
      <c r="G66">
        <v>4.4732161640000001</v>
      </c>
      <c r="H66">
        <v>4.68707238</v>
      </c>
      <c r="I66" t="s">
        <v>394</v>
      </c>
    </row>
    <row r="67" spans="1:9">
      <c r="A67" s="16">
        <v>44409</v>
      </c>
      <c r="B67" s="33">
        <v>109.67400000000001</v>
      </c>
      <c r="C67" s="31">
        <v>44</v>
      </c>
      <c r="D67" s="31">
        <f t="shared" si="0"/>
        <v>4.5809096977209895</v>
      </c>
      <c r="E67">
        <v>44</v>
      </c>
      <c r="F67">
        <v>44</v>
      </c>
      <c r="G67">
        <v>4.5809096980000001</v>
      </c>
      <c r="H67">
        <v>4.4823504152</v>
      </c>
      <c r="I67" t="s">
        <v>242</v>
      </c>
    </row>
    <row r="68" spans="1:9">
      <c r="A68" s="10">
        <v>44440</v>
      </c>
      <c r="B68" s="33">
        <v>110.03400000000001</v>
      </c>
      <c r="C68" s="31">
        <v>45</v>
      </c>
      <c r="D68" s="31">
        <f t="shared" si="0"/>
        <v>4.7374282532339622</v>
      </c>
      <c r="E68">
        <v>45</v>
      </c>
      <c r="F68">
        <v>45</v>
      </c>
      <c r="G68">
        <v>4.737428253</v>
      </c>
      <c r="H68">
        <v>4.9138385435999998</v>
      </c>
      <c r="I68" t="s">
        <v>243</v>
      </c>
    </row>
    <row r="69" spans="1:9">
      <c r="A69" s="10">
        <v>44470</v>
      </c>
      <c r="B69" s="33">
        <v>110.762</v>
      </c>
      <c r="C69" s="31">
        <v>46</v>
      </c>
      <c r="D69" s="31">
        <f t="shared" si="0"/>
        <v>5.3361356525377825</v>
      </c>
      <c r="E69">
        <v>46</v>
      </c>
      <c r="F69">
        <v>46</v>
      </c>
      <c r="G69">
        <v>5.3361356530000004</v>
      </c>
      <c r="H69">
        <v>5.3453266719999997</v>
      </c>
      <c r="I69" t="s">
        <v>395</v>
      </c>
    </row>
    <row r="70" spans="1:9">
      <c r="A70" s="10">
        <v>44501</v>
      </c>
      <c r="B70" s="33">
        <v>111.5</v>
      </c>
      <c r="C70" s="31">
        <v>47</v>
      </c>
      <c r="D70" s="31">
        <f t="shared" si="0"/>
        <v>5.9301905793383929</v>
      </c>
      <c r="E70">
        <v>47</v>
      </c>
      <c r="F70">
        <v>47</v>
      </c>
      <c r="G70">
        <v>5.9301905789999996</v>
      </c>
      <c r="H70">
        <v>5.7768148004000004</v>
      </c>
      <c r="I70" t="s">
        <v>396</v>
      </c>
    </row>
    <row r="71" spans="1:9">
      <c r="A71" s="10">
        <v>44531</v>
      </c>
      <c r="B71" s="33">
        <v>112.191</v>
      </c>
      <c r="C71" s="31">
        <v>48</v>
      </c>
      <c r="D71" s="31">
        <f t="shared" si="0"/>
        <v>6.1419691766241922</v>
      </c>
      <c r="E71">
        <v>48</v>
      </c>
      <c r="F71">
        <v>48</v>
      </c>
      <c r="G71">
        <v>6.141969177</v>
      </c>
      <c r="H71">
        <v>6.2083029288000002</v>
      </c>
      <c r="I71" t="s">
        <v>397</v>
      </c>
    </row>
    <row r="72" spans="1:9">
      <c r="A72" s="16">
        <v>44562</v>
      </c>
      <c r="B72" s="33">
        <v>112.80500000000001</v>
      </c>
      <c r="C72" s="31">
        <v>49</v>
      </c>
      <c r="D72" s="31">
        <f t="shared" si="0"/>
        <v>6.2724335120163559</v>
      </c>
      <c r="E72">
        <v>49</v>
      </c>
      <c r="F72">
        <v>49</v>
      </c>
      <c r="G72">
        <v>6.2724335120000001</v>
      </c>
      <c r="H72">
        <v>6.3616295271999999</v>
      </c>
      <c r="I72" t="s">
        <v>247</v>
      </c>
    </row>
    <row r="73" spans="1:9">
      <c r="A73" s="10">
        <v>44593</v>
      </c>
      <c r="B73" s="33">
        <v>113.471</v>
      </c>
      <c r="C73" s="31">
        <v>50</v>
      </c>
      <c r="D73" s="31">
        <f t="shared" si="0"/>
        <v>6.54553990610329</v>
      </c>
      <c r="E73">
        <v>50</v>
      </c>
      <c r="F73">
        <v>50</v>
      </c>
      <c r="G73">
        <v>6.5455399060000001</v>
      </c>
      <c r="H73">
        <v>6.5147882140000002</v>
      </c>
      <c r="I73" t="s">
        <v>248</v>
      </c>
    </row>
    <row r="74" spans="1:9">
      <c r="A74" s="10">
        <v>44621</v>
      </c>
      <c r="B74" s="33">
        <v>114.46899999999999</v>
      </c>
      <c r="C74" s="31">
        <v>51</v>
      </c>
      <c r="D74" s="31">
        <f t="shared" si="0"/>
        <v>6.9264109701645822</v>
      </c>
      <c r="E74">
        <v>51</v>
      </c>
      <c r="F74">
        <v>51</v>
      </c>
      <c r="G74">
        <v>6.9264109700000001</v>
      </c>
      <c r="H74">
        <v>6.6679469008999996</v>
      </c>
      <c r="I74" t="s">
        <v>398</v>
      </c>
    </row>
    <row r="75" spans="1:9">
      <c r="A75" s="10">
        <v>44652</v>
      </c>
      <c r="B75" s="33">
        <v>114.812</v>
      </c>
      <c r="C75" s="31">
        <v>52</v>
      </c>
      <c r="D75" s="31">
        <f t="shared" si="0"/>
        <v>6.6847553383263056</v>
      </c>
      <c r="E75">
        <v>52</v>
      </c>
      <c r="F75">
        <v>52</v>
      </c>
      <c r="G75">
        <v>6.6847553380000004</v>
      </c>
      <c r="H75">
        <v>6.8211055878</v>
      </c>
      <c r="I75" t="s">
        <v>399</v>
      </c>
    </row>
    <row r="76" spans="1:9">
      <c r="A76" s="10">
        <v>44682</v>
      </c>
      <c r="B76" s="33">
        <v>115.52500000000001</v>
      </c>
      <c r="C76" s="31">
        <v>53</v>
      </c>
      <c r="D76" s="31">
        <f t="shared" si="0"/>
        <v>6.7945458747400131</v>
      </c>
      <c r="E76">
        <v>53</v>
      </c>
      <c r="F76">
        <v>53</v>
      </c>
      <c r="G76">
        <v>6.7945458749999998</v>
      </c>
      <c r="H76">
        <v>6.9742642746000003</v>
      </c>
      <c r="I76" t="s">
        <v>400</v>
      </c>
    </row>
    <row r="77" spans="1:9">
      <c r="A77" s="10">
        <v>44713</v>
      </c>
      <c r="B77" s="33">
        <v>116.63800000000001</v>
      </c>
      <c r="C77" s="31">
        <v>54</v>
      </c>
      <c r="D77" s="31">
        <f t="shared" si="0"/>
        <v>7.2434718646561231</v>
      </c>
      <c r="E77">
        <v>54</v>
      </c>
      <c r="F77">
        <v>54</v>
      </c>
      <c r="G77">
        <v>7.2434718650000001</v>
      </c>
      <c r="H77">
        <v>7.1274229614999998</v>
      </c>
      <c r="I77" t="s">
        <v>252</v>
      </c>
    </row>
    <row r="78" spans="1:9">
      <c r="A78" s="16">
        <v>44743</v>
      </c>
      <c r="B78" s="33">
        <v>116.631</v>
      </c>
      <c r="C78" s="31">
        <v>55</v>
      </c>
      <c r="D78" s="31">
        <f t="shared" si="0"/>
        <v>6.7502013619389327</v>
      </c>
      <c r="E78">
        <v>55</v>
      </c>
      <c r="F78">
        <v>55</v>
      </c>
      <c r="G78">
        <v>6.7502013620000003</v>
      </c>
      <c r="H78">
        <v>6.9469908236000002</v>
      </c>
      <c r="I78" t="s">
        <v>253</v>
      </c>
    </row>
    <row r="79" spans="1:9">
      <c r="A79" s="10">
        <v>44774</v>
      </c>
      <c r="B79" s="33">
        <v>116.956</v>
      </c>
      <c r="C79" s="31">
        <v>56</v>
      </c>
      <c r="D79" s="31">
        <f t="shared" si="0"/>
        <v>6.6396775899483886</v>
      </c>
      <c r="E79">
        <v>56</v>
      </c>
      <c r="F79">
        <v>56</v>
      </c>
      <c r="G79">
        <v>6.6396775899999998</v>
      </c>
      <c r="H79">
        <v>6.7041185396999996</v>
      </c>
      <c r="I79" t="s">
        <v>401</v>
      </c>
    </row>
    <row r="80" spans="1:9">
      <c r="A80" s="10">
        <v>44805</v>
      </c>
      <c r="B80" s="33">
        <v>117.371</v>
      </c>
      <c r="C80" s="31">
        <v>57</v>
      </c>
      <c r="D80" s="31">
        <f t="shared" si="0"/>
        <v>6.6679390006725088</v>
      </c>
      <c r="E80">
        <v>57</v>
      </c>
      <c r="F80">
        <v>57</v>
      </c>
      <c r="G80">
        <v>6.6679390009999997</v>
      </c>
      <c r="H80">
        <v>6.4612462557999999</v>
      </c>
      <c r="I80" t="s">
        <v>402</v>
      </c>
    </row>
    <row r="81" spans="1:9">
      <c r="A81" s="10">
        <v>44835</v>
      </c>
      <c r="B81" s="33">
        <v>117.919</v>
      </c>
      <c r="C81" s="31">
        <v>58</v>
      </c>
      <c r="D81" s="31">
        <f t="shared" si="0"/>
        <v>6.4616023545981438</v>
      </c>
      <c r="E81">
        <v>58</v>
      </c>
      <c r="F81">
        <v>58</v>
      </c>
      <c r="G81">
        <v>6.4616023550000001</v>
      </c>
      <c r="H81">
        <v>6.2183739719000002</v>
      </c>
      <c r="I81" t="s">
        <v>403</v>
      </c>
    </row>
    <row r="82" spans="1:9">
      <c r="A82" s="10">
        <v>44866</v>
      </c>
      <c r="B82" s="33">
        <v>118.224</v>
      </c>
      <c r="C82" s="31">
        <v>59</v>
      </c>
      <c r="D82" s="31">
        <f t="shared" si="0"/>
        <v>6.0304932735426036</v>
      </c>
      <c r="E82">
        <v>59</v>
      </c>
      <c r="F82">
        <v>59</v>
      </c>
      <c r="G82">
        <v>6.0304932740000003</v>
      </c>
      <c r="H82">
        <v>5.9755016880999996</v>
      </c>
      <c r="I82" t="s">
        <v>257</v>
      </c>
    </row>
    <row r="83" spans="1:9">
      <c r="A83" s="10">
        <v>44896</v>
      </c>
      <c r="B83" s="33">
        <v>118.384</v>
      </c>
      <c r="C83" s="31">
        <v>60</v>
      </c>
      <c r="D83" s="31">
        <f t="shared" si="0"/>
        <v>5.520050627946981</v>
      </c>
      <c r="E83">
        <v>60</v>
      </c>
      <c r="F83">
        <v>60</v>
      </c>
      <c r="G83">
        <v>5.5200506279999999</v>
      </c>
      <c r="H83">
        <v>5.7326294041999999</v>
      </c>
      <c r="I83" t="s">
        <v>258</v>
      </c>
    </row>
    <row r="84" spans="1:9">
      <c r="A84" s="10">
        <v>44927</v>
      </c>
      <c r="B84" s="33">
        <v>119.018</v>
      </c>
      <c r="C84" s="31">
        <v>61</v>
      </c>
      <c r="D84" s="31">
        <f t="shared" si="0"/>
        <v>5.5077345862328739</v>
      </c>
      <c r="E84">
        <v>61</v>
      </c>
      <c r="F84">
        <v>61</v>
      </c>
      <c r="G84">
        <v>5.5077345859999998</v>
      </c>
      <c r="H84">
        <v>5.4897571203000002</v>
      </c>
      <c r="I84" t="s">
        <v>404</v>
      </c>
    </row>
    <row r="85" spans="1:9">
      <c r="A85" s="10">
        <v>44958</v>
      </c>
      <c r="B85" s="33">
        <v>119.369</v>
      </c>
      <c r="C85" s="31">
        <v>62</v>
      </c>
      <c r="D85" s="31">
        <f t="shared" si="0"/>
        <v>5.1978038441540093</v>
      </c>
      <c r="E85">
        <v>62</v>
      </c>
      <c r="F85">
        <v>62</v>
      </c>
      <c r="G85">
        <v>5.1978038440000001</v>
      </c>
      <c r="H85">
        <v>5.2468848363999996</v>
      </c>
      <c r="I85" t="s">
        <v>405</v>
      </c>
    </row>
    <row r="86" spans="1:9">
      <c r="A86" s="16">
        <v>44986</v>
      </c>
      <c r="B86" s="33">
        <v>119.538</v>
      </c>
      <c r="C86" s="31">
        <v>63</v>
      </c>
      <c r="D86" s="31">
        <f t="shared" si="0"/>
        <v>4.4282731569245843</v>
      </c>
      <c r="E86">
        <v>63</v>
      </c>
      <c r="F86">
        <v>63</v>
      </c>
      <c r="G86">
        <v>4.4282731569999996</v>
      </c>
      <c r="H86">
        <v>4.5662531303999998</v>
      </c>
      <c r="I86" t="s">
        <v>406</v>
      </c>
    </row>
    <row r="87" spans="1:9">
      <c r="A87" s="10">
        <v>45017</v>
      </c>
      <c r="B87" s="33">
        <v>119.95099999999999</v>
      </c>
      <c r="C87" s="31">
        <v>64</v>
      </c>
      <c r="D87" s="31">
        <f t="shared" si="0"/>
        <v>4.4760129603177337</v>
      </c>
      <c r="E87">
        <v>64</v>
      </c>
      <c r="F87">
        <v>64</v>
      </c>
      <c r="G87">
        <v>4.4760129600000003</v>
      </c>
      <c r="H87">
        <v>4.2432577756000001</v>
      </c>
      <c r="I87" t="s">
        <v>262</v>
      </c>
    </row>
    <row r="88" spans="1:9">
      <c r="A88" s="10">
        <v>45047</v>
      </c>
      <c r="B88" s="33">
        <v>120.15</v>
      </c>
      <c r="C88" s="31">
        <v>65</v>
      </c>
      <c r="D88" s="31">
        <f t="shared" si="0"/>
        <v>4.003462454014282</v>
      </c>
      <c r="E88">
        <v>65</v>
      </c>
      <c r="F88">
        <v>65</v>
      </c>
      <c r="G88">
        <v>4.0034624540000001</v>
      </c>
      <c r="H88">
        <v>3.9202624207999999</v>
      </c>
      <c r="I88" t="s">
        <v>263</v>
      </c>
    </row>
    <row r="89" spans="1:9">
      <c r="A89" s="10">
        <v>45078</v>
      </c>
      <c r="B89" s="33">
        <v>120.46899999999999</v>
      </c>
      <c r="C89" s="31">
        <v>66</v>
      </c>
      <c r="D89" s="31">
        <f t="shared" si="0"/>
        <v>3.2845213395291317</v>
      </c>
      <c r="E89">
        <v>66</v>
      </c>
      <c r="F89">
        <v>66</v>
      </c>
      <c r="G89">
        <v>3.28452134</v>
      </c>
      <c r="H89">
        <v>3.5972670660000001</v>
      </c>
      <c r="I89" t="s">
        <v>407</v>
      </c>
    </row>
    <row r="90" spans="1:9">
      <c r="A90" s="10">
        <v>45108</v>
      </c>
      <c r="B90" s="33">
        <v>120.607</v>
      </c>
      <c r="C90" s="31">
        <v>67</v>
      </c>
      <c r="D90" s="31">
        <f t="shared" ref="D90:D122" si="1">100*(B90-B78)/B78</f>
        <v>3.4090421928989714</v>
      </c>
      <c r="E90">
        <v>67</v>
      </c>
      <c r="F90">
        <v>67</v>
      </c>
      <c r="G90">
        <v>3.4090421929999999</v>
      </c>
      <c r="H90">
        <v>3.2742717111999999</v>
      </c>
      <c r="I90" t="s">
        <v>408</v>
      </c>
    </row>
    <row r="91" spans="1:9">
      <c r="A91" s="16">
        <v>45139</v>
      </c>
      <c r="B91" s="33">
        <v>120.97</v>
      </c>
      <c r="C91" s="31">
        <v>68</v>
      </c>
      <c r="D91" s="31">
        <f t="shared" si="1"/>
        <v>3.4320599199698996</v>
      </c>
      <c r="E91">
        <v>68</v>
      </c>
      <c r="F91">
        <v>68</v>
      </c>
      <c r="G91">
        <v>3.4320599199999999</v>
      </c>
      <c r="H91">
        <v>3.4899922596000001</v>
      </c>
      <c r="I91" t="s">
        <v>409</v>
      </c>
    </row>
    <row r="92" spans="1:9">
      <c r="A92" s="10">
        <v>45170</v>
      </c>
      <c r="B92" s="33">
        <v>121.419</v>
      </c>
      <c r="C92" s="31">
        <v>69</v>
      </c>
      <c r="D92" s="31">
        <f t="shared" si="1"/>
        <v>3.448892827018601</v>
      </c>
      <c r="E92">
        <v>69</v>
      </c>
      <c r="F92">
        <v>69</v>
      </c>
      <c r="G92">
        <v>3.4488928269999999</v>
      </c>
      <c r="H92">
        <v>3.2886531622000001</v>
      </c>
      <c r="I92" t="s">
        <v>273</v>
      </c>
    </row>
    <row r="93" spans="1:9">
      <c r="A93" s="10">
        <v>45200</v>
      </c>
      <c r="B93" s="33">
        <v>121.48399999999999</v>
      </c>
      <c r="C93" s="31">
        <v>70</v>
      </c>
      <c r="D93" s="31">
        <f t="shared" si="1"/>
        <v>3.0232617305099243</v>
      </c>
      <c r="E93">
        <v>70</v>
      </c>
      <c r="F93">
        <v>70</v>
      </c>
      <c r="G93">
        <v>3.0232617309999998</v>
      </c>
      <c r="H93">
        <v>3.0873140648000001</v>
      </c>
      <c r="I93" t="s">
        <v>274</v>
      </c>
    </row>
    <row r="94" spans="1:9">
      <c r="A94" s="10">
        <v>45231</v>
      </c>
      <c r="B94" s="33">
        <v>121.49299999999999</v>
      </c>
      <c r="C94" s="31">
        <v>71</v>
      </c>
      <c r="D94" s="31">
        <f t="shared" si="1"/>
        <v>2.7650899986466295</v>
      </c>
      <c r="E94">
        <v>71</v>
      </c>
      <c r="F94">
        <v>71</v>
      </c>
      <c r="G94">
        <v>2.7650899990000002</v>
      </c>
      <c r="H94">
        <v>2.8859749674000001</v>
      </c>
      <c r="I94" t="s">
        <v>410</v>
      </c>
    </row>
    <row r="95" spans="1:9">
      <c r="A95" s="10">
        <v>45261</v>
      </c>
      <c r="B95" s="33">
        <v>121.66</v>
      </c>
      <c r="C95" s="31">
        <v>72</v>
      </c>
      <c r="D95" s="31">
        <f t="shared" si="1"/>
        <v>2.7672658467360423</v>
      </c>
      <c r="E95">
        <v>72</v>
      </c>
      <c r="F95">
        <v>72</v>
      </c>
      <c r="G95">
        <v>2.767265847</v>
      </c>
      <c r="H95">
        <v>2.6846358700000001</v>
      </c>
      <c r="I95" t="s">
        <v>411</v>
      </c>
    </row>
    <row r="96" spans="1:9">
      <c r="A96" s="16">
        <v>45292</v>
      </c>
      <c r="B96" s="33">
        <v>122.23</v>
      </c>
      <c r="C96" s="14">
        <v>73</v>
      </c>
      <c r="D96" s="14">
        <f t="shared" si="1"/>
        <v>2.6987514493606035</v>
      </c>
      <c r="E96">
        <v>73</v>
      </c>
      <c r="F96">
        <v>73</v>
      </c>
      <c r="G96">
        <v>2.698751449</v>
      </c>
      <c r="H96">
        <v>2.8644340452999999</v>
      </c>
      <c r="I96" t="s">
        <v>412</v>
      </c>
    </row>
    <row r="97" spans="1:9">
      <c r="A97" s="10">
        <v>45323</v>
      </c>
      <c r="B97" s="33">
        <v>122.598</v>
      </c>
      <c r="C97" s="31">
        <v>74</v>
      </c>
      <c r="D97" s="31">
        <f t="shared" si="1"/>
        <v>2.7050574269701508</v>
      </c>
      <c r="E97">
        <v>74</v>
      </c>
      <c r="F97">
        <v>74</v>
      </c>
      <c r="G97">
        <v>2.7050574269999998</v>
      </c>
      <c r="H97">
        <v>2.8048834963</v>
      </c>
      <c r="I97" t="s">
        <v>339</v>
      </c>
    </row>
    <row r="98" spans="1:9">
      <c r="A98" s="10">
        <v>45352</v>
      </c>
      <c r="B98" s="33">
        <v>123.038</v>
      </c>
      <c r="C98" s="31">
        <v>75</v>
      </c>
      <c r="D98" s="31">
        <f t="shared" si="1"/>
        <v>2.9279392327126104</v>
      </c>
      <c r="E98">
        <v>75</v>
      </c>
      <c r="F98">
        <v>75</v>
      </c>
      <c r="G98">
        <v>2.927939233</v>
      </c>
      <c r="H98">
        <v>2.7453329472000001</v>
      </c>
      <c r="I98" t="s">
        <v>340</v>
      </c>
    </row>
    <row r="99" spans="1:9">
      <c r="A99" s="10">
        <v>45383</v>
      </c>
      <c r="B99" s="33">
        <v>123.34099999999999</v>
      </c>
      <c r="C99" s="31">
        <v>76</v>
      </c>
      <c r="D99" s="31">
        <f t="shared" si="1"/>
        <v>2.8261540128885967</v>
      </c>
      <c r="E99">
        <v>76</v>
      </c>
      <c r="F99">
        <v>76</v>
      </c>
      <c r="G99">
        <v>2.826154013</v>
      </c>
      <c r="H99">
        <v>2.6857823982000002</v>
      </c>
      <c r="I99" t="s">
        <v>413</v>
      </c>
    </row>
    <row r="100" spans="1:9">
      <c r="A100" s="10">
        <v>45413</v>
      </c>
      <c r="B100" s="33">
        <v>123.348</v>
      </c>
      <c r="C100" s="31">
        <v>77</v>
      </c>
      <c r="D100" s="31">
        <f t="shared" si="1"/>
        <v>2.6616729088639146</v>
      </c>
      <c r="E100">
        <v>77</v>
      </c>
      <c r="F100">
        <v>77</v>
      </c>
      <c r="G100">
        <v>2.661672909</v>
      </c>
      <c r="H100">
        <v>2.6262318490999998</v>
      </c>
      <c r="I100" t="s">
        <v>414</v>
      </c>
    </row>
    <row r="101" spans="1:9">
      <c r="A101" s="10">
        <v>45444</v>
      </c>
      <c r="B101" s="33">
        <v>123.539</v>
      </c>
      <c r="C101" s="31">
        <v>78</v>
      </c>
      <c r="D101" s="31">
        <f t="shared" si="1"/>
        <v>2.5483734404701686</v>
      </c>
      <c r="E101">
        <v>78</v>
      </c>
      <c r="F101">
        <v>78</v>
      </c>
      <c r="G101">
        <v>2.5483734400000002</v>
      </c>
      <c r="H101">
        <v>2.5666813001</v>
      </c>
      <c r="I101" t="s">
        <v>415</v>
      </c>
    </row>
    <row r="102" spans="1:9">
      <c r="A102" s="10">
        <v>45474</v>
      </c>
      <c r="B102" s="33">
        <v>123.736</v>
      </c>
      <c r="C102" s="31">
        <v>79</v>
      </c>
      <c r="D102" s="31">
        <f t="shared" si="1"/>
        <v>2.5943767774673154</v>
      </c>
      <c r="E102">
        <v>79</v>
      </c>
      <c r="F102">
        <v>79</v>
      </c>
      <c r="G102">
        <v>2.5943767769999999</v>
      </c>
      <c r="H102">
        <v>2.507130751</v>
      </c>
      <c r="I102" t="s">
        <v>425</v>
      </c>
    </row>
    <row r="103" spans="1:9">
      <c r="A103" s="10">
        <v>45505</v>
      </c>
      <c r="B103" s="33">
        <v>123.889</v>
      </c>
      <c r="C103" s="31">
        <v>80</v>
      </c>
      <c r="D103" s="31">
        <f t="shared" si="1"/>
        <v>2.412994957427459</v>
      </c>
      <c r="E103">
        <v>80</v>
      </c>
      <c r="F103">
        <v>80</v>
      </c>
      <c r="G103">
        <v>2.412994957</v>
      </c>
      <c r="H103">
        <v>2.4475802020000001</v>
      </c>
      <c r="I103" t="s">
        <v>426</v>
      </c>
    </row>
    <row r="104" spans="1:9">
      <c r="A104" s="10">
        <v>45536</v>
      </c>
      <c r="B104" s="33">
        <v>124.164</v>
      </c>
      <c r="C104" s="31">
        <v>81</v>
      </c>
      <c r="D104" s="31">
        <f t="shared" si="1"/>
        <v>2.2607664368838525</v>
      </c>
      <c r="E104">
        <v>81</v>
      </c>
      <c r="F104">
        <v>81</v>
      </c>
      <c r="G104">
        <v>2.260766437</v>
      </c>
      <c r="H104">
        <v>2.3880296528999998</v>
      </c>
      <c r="I104" t="s">
        <v>460</v>
      </c>
    </row>
    <row r="105" spans="1:9">
      <c r="A105" s="16">
        <v>45566</v>
      </c>
      <c r="B105" s="33">
        <v>124.494</v>
      </c>
      <c r="C105" s="14">
        <v>82</v>
      </c>
      <c r="D105" s="14">
        <f t="shared" si="1"/>
        <v>2.4776925356425581</v>
      </c>
      <c r="E105">
        <v>82</v>
      </c>
      <c r="F105">
        <v>82</v>
      </c>
      <c r="G105">
        <v>2.4776925360000002</v>
      </c>
      <c r="H105">
        <v>2.5252588901999999</v>
      </c>
      <c r="I105" t="s">
        <v>461</v>
      </c>
    </row>
    <row r="106" spans="1:9">
      <c r="A106" s="10">
        <v>45597</v>
      </c>
      <c r="B106" s="33">
        <v>124.637</v>
      </c>
      <c r="C106" s="31">
        <v>83</v>
      </c>
      <c r="D106" s="31">
        <f t="shared" si="1"/>
        <v>2.5878034125422911</v>
      </c>
      <c r="E106">
        <v>83</v>
      </c>
      <c r="F106">
        <v>83</v>
      </c>
      <c r="G106">
        <v>2.5878034130000001</v>
      </c>
      <c r="H106">
        <v>2.5737749292999998</v>
      </c>
      <c r="I106" t="s">
        <v>462</v>
      </c>
    </row>
    <row r="107" spans="1:9">
      <c r="A107" s="10">
        <v>45627</v>
      </c>
      <c r="B107" s="33">
        <v>124.979</v>
      </c>
      <c r="C107" s="31">
        <v>84</v>
      </c>
      <c r="D107" s="31">
        <f t="shared" si="1"/>
        <v>2.7280946901200087</v>
      </c>
      <c r="E107">
        <v>84</v>
      </c>
      <c r="F107">
        <v>84</v>
      </c>
      <c r="G107">
        <v>2.7280946899999998</v>
      </c>
      <c r="H107">
        <v>2.6222909684000002</v>
      </c>
      <c r="I107" s="76" t="s">
        <v>482</v>
      </c>
    </row>
    <row r="108" spans="1:9">
      <c r="A108" s="10">
        <v>45658</v>
      </c>
      <c r="B108" s="33">
        <v>125.417</v>
      </c>
      <c r="C108" s="31">
        <v>85</v>
      </c>
      <c r="D108" s="31">
        <f t="shared" si="1"/>
        <v>2.6073795303935183</v>
      </c>
      <c r="E108">
        <v>85</v>
      </c>
      <c r="F108">
        <v>85</v>
      </c>
      <c r="G108">
        <v>2.6073795299999998</v>
      </c>
      <c r="H108">
        <v>2.6708070075000001</v>
      </c>
      <c r="I108" s="76" t="s">
        <v>483</v>
      </c>
    </row>
    <row r="109" spans="1:9">
      <c r="A109" s="10">
        <v>45689</v>
      </c>
      <c r="B109" s="33">
        <v>125.92100000000001</v>
      </c>
      <c r="C109" s="31">
        <v>86</v>
      </c>
      <c r="D109" s="31">
        <f t="shared" si="1"/>
        <v>2.7104846734857073</v>
      </c>
      <c r="E109">
        <v>86</v>
      </c>
      <c r="F109">
        <v>86</v>
      </c>
      <c r="G109">
        <v>2.7104846729999998</v>
      </c>
      <c r="H109">
        <v>2.7193230466</v>
      </c>
      <c r="I109" s="76" t="s">
        <v>484</v>
      </c>
    </row>
    <row r="110" spans="1:9">
      <c r="A110" s="50">
        <v>45717</v>
      </c>
      <c r="B110" s="33">
        <v>125.941</v>
      </c>
      <c r="C110" s="52">
        <v>87</v>
      </c>
      <c r="D110" s="52">
        <f t="shared" si="1"/>
        <v>2.3594336708984263</v>
      </c>
      <c r="E110">
        <v>87</v>
      </c>
      <c r="F110">
        <v>87</v>
      </c>
      <c r="G110">
        <v>2.3594336710000001</v>
      </c>
      <c r="H110">
        <v>2.2928801995999999</v>
      </c>
      <c r="I110" s="76" t="s">
        <v>485</v>
      </c>
    </row>
    <row r="111" spans="1:9">
      <c r="A111" s="10">
        <v>45748</v>
      </c>
      <c r="B111" s="33">
        <v>126.15</v>
      </c>
      <c r="C111" s="31">
        <v>88</v>
      </c>
      <c r="D111" s="31">
        <f t="shared" si="1"/>
        <v>2.2774259978433871</v>
      </c>
      <c r="E111">
        <v>88</v>
      </c>
      <c r="F111">
        <v>88</v>
      </c>
      <c r="G111">
        <v>2.277425998</v>
      </c>
      <c r="H111">
        <v>2.3775900985999998</v>
      </c>
      <c r="I111" s="76" t="s">
        <v>486</v>
      </c>
    </row>
    <row r="112" spans="1:9">
      <c r="A112" s="10">
        <v>45778</v>
      </c>
      <c r="B112" s="33">
        <v>126.38</v>
      </c>
      <c r="C112" s="31">
        <v>89</v>
      </c>
      <c r="D112" s="31">
        <f t="shared" si="1"/>
        <v>2.4580860654408636</v>
      </c>
      <c r="E112">
        <v>89</v>
      </c>
      <c r="F112">
        <v>89</v>
      </c>
      <c r="G112">
        <v>2.4580860649999998</v>
      </c>
      <c r="H112">
        <v>2.4622999977000002</v>
      </c>
    </row>
    <row r="113" spans="1:12">
      <c r="A113" s="10">
        <v>45809</v>
      </c>
      <c r="B113" s="33">
        <v>126.74299999999999</v>
      </c>
      <c r="C113" s="31">
        <v>90</v>
      </c>
      <c r="D113" s="31">
        <f t="shared" si="1"/>
        <v>2.5935129797068082</v>
      </c>
      <c r="E113">
        <v>90</v>
      </c>
      <c r="F113">
        <v>90</v>
      </c>
      <c r="G113">
        <v>2.5935129799999999</v>
      </c>
      <c r="H113">
        <v>2.5470098967000001</v>
      </c>
      <c r="I113" t="s">
        <v>182</v>
      </c>
    </row>
    <row r="114" spans="1:12">
      <c r="A114" s="10">
        <v>45839</v>
      </c>
      <c r="B114" s="33">
        <v>126.96</v>
      </c>
      <c r="C114" s="31">
        <v>91</v>
      </c>
      <c r="D114" s="31">
        <f t="shared" si="1"/>
        <v>2.6055472942393396</v>
      </c>
      <c r="E114">
        <v>91</v>
      </c>
      <c r="F114">
        <v>91</v>
      </c>
      <c r="G114">
        <v>2.605547294</v>
      </c>
      <c r="H114">
        <v>2.6317197958</v>
      </c>
      <c r="I114" t="s">
        <v>184</v>
      </c>
      <c r="J114" t="s">
        <v>185</v>
      </c>
      <c r="K114" t="s">
        <v>186</v>
      </c>
      <c r="L114" t="s">
        <v>187</v>
      </c>
    </row>
    <row r="115" spans="1:12">
      <c r="A115" s="10">
        <v>45870</v>
      </c>
      <c r="B115" s="33">
        <v>127.29300000000001</v>
      </c>
      <c r="C115" s="31">
        <v>92</v>
      </c>
      <c r="D115" s="31">
        <f t="shared" si="1"/>
        <v>2.7476208541517089</v>
      </c>
      <c r="E115">
        <v>92</v>
      </c>
      <c r="F115">
        <v>92</v>
      </c>
      <c r="G115">
        <v>2.747620854</v>
      </c>
      <c r="H115">
        <v>2.7164296948</v>
      </c>
      <c r="I115" t="s">
        <v>188</v>
      </c>
      <c r="J115">
        <v>31</v>
      </c>
      <c r="K115">
        <v>28.2297585783</v>
      </c>
      <c r="L115">
        <v>0.91063737349999996</v>
      </c>
    </row>
    <row r="116" spans="1:12">
      <c r="A116" s="10">
        <v>45901</v>
      </c>
      <c r="B116" s="33">
        <v>127.625</v>
      </c>
      <c r="C116" s="31">
        <v>93</v>
      </c>
      <c r="D116" s="31">
        <f t="shared" si="1"/>
        <v>2.7874424148706538</v>
      </c>
      <c r="E116">
        <v>93</v>
      </c>
      <c r="F116">
        <v>93</v>
      </c>
      <c r="G116">
        <v>2.7874424150000001</v>
      </c>
      <c r="H116">
        <v>2.8011395937999999</v>
      </c>
      <c r="I116" t="s">
        <v>189</v>
      </c>
      <c r="J116">
        <v>68</v>
      </c>
      <c r="K116">
        <v>2.2893404527999999</v>
      </c>
      <c r="L116">
        <v>3.3666771400000003E-2</v>
      </c>
    </row>
    <row r="117" spans="1:12">
      <c r="A117" s="16">
        <v>45931</v>
      </c>
      <c r="B117" s="33">
        <v>127.871</v>
      </c>
      <c r="C117" s="14">
        <v>94</v>
      </c>
      <c r="D117" s="14">
        <f t="shared" si="1"/>
        <v>2.7125805259691194</v>
      </c>
      <c r="E117">
        <v>94</v>
      </c>
      <c r="F117">
        <v>94</v>
      </c>
      <c r="G117">
        <v>2.712580526</v>
      </c>
      <c r="H117">
        <v>2.5720852287999998</v>
      </c>
      <c r="I117" t="s">
        <v>190</v>
      </c>
      <c r="J117">
        <v>99</v>
      </c>
      <c r="K117">
        <v>298.34976112599998</v>
      </c>
    </row>
    <row r="118" spans="1:12">
      <c r="A118" s="10">
        <v>45962</v>
      </c>
      <c r="B118" s="33">
        <v>128.15199999999999</v>
      </c>
      <c r="C118" s="31">
        <v>95</v>
      </c>
      <c r="D118" s="31">
        <f t="shared" si="1"/>
        <v>2.8201898312699973</v>
      </c>
      <c r="E118">
        <v>95</v>
      </c>
      <c r="F118">
        <v>95</v>
      </c>
      <c r="G118">
        <v>2.820189831</v>
      </c>
      <c r="H118">
        <v>2.7347169955999999</v>
      </c>
      <c r="I118" t="s">
        <v>487</v>
      </c>
    </row>
    <row r="119" spans="1:12">
      <c r="A119" s="10">
        <v>45992</v>
      </c>
      <c r="B119" s="33">
        <v>128.57599999999999</v>
      </c>
      <c r="C119" s="31">
        <v>96</v>
      </c>
      <c r="D119" s="31">
        <f t="shared" si="1"/>
        <v>2.8780835180310245</v>
      </c>
      <c r="E119">
        <v>96</v>
      </c>
      <c r="F119">
        <v>96</v>
      </c>
      <c r="G119">
        <v>2.878083518</v>
      </c>
      <c r="H119">
        <v>2.8973487624000001</v>
      </c>
    </row>
    <row r="120" spans="1:12">
      <c r="A120" s="10">
        <v>46023</v>
      </c>
      <c r="B120" s="33">
        <v>129.00200000000001</v>
      </c>
      <c r="C120" s="31">
        <v>97</v>
      </c>
      <c r="D120" s="31">
        <f t="shared" si="1"/>
        <v>2.8584641635504022</v>
      </c>
      <c r="E120">
        <v>97</v>
      </c>
      <c r="F120">
        <v>97</v>
      </c>
      <c r="G120">
        <v>2.8584641639999999</v>
      </c>
      <c r="H120">
        <v>3.0599805291000002</v>
      </c>
      <c r="K120" s="31">
        <f>1-(K116/K117)</f>
        <v>0.99232665565355305</v>
      </c>
    </row>
    <row r="121" spans="1:12">
      <c r="A121" s="10">
        <v>46054</v>
      </c>
      <c r="B121" s="33">
        <v>129.52000000000001</v>
      </c>
      <c r="C121" s="31">
        <v>98</v>
      </c>
      <c r="D121" s="31">
        <f t="shared" si="1"/>
        <v>2.858141215524022</v>
      </c>
      <c r="E121">
        <v>98</v>
      </c>
      <c r="F121">
        <v>98</v>
      </c>
      <c r="G121">
        <v>2.8581412159999999</v>
      </c>
      <c r="H121">
        <v>3.2226122958999999</v>
      </c>
    </row>
    <row r="122" spans="1:12">
      <c r="A122" s="10">
        <v>46082</v>
      </c>
      <c r="B122" s="33">
        <v>130.381</v>
      </c>
      <c r="C122" s="31">
        <v>99</v>
      </c>
      <c r="D122" s="31">
        <f t="shared" si="1"/>
        <v>3.5254603346011208</v>
      </c>
      <c r="E122">
        <v>99</v>
      </c>
      <c r="F122">
        <v>99</v>
      </c>
      <c r="G122">
        <v>3.525460335</v>
      </c>
      <c r="H122">
        <v>3.3852440627</v>
      </c>
    </row>
    <row r="123" spans="1:12">
      <c r="A123" s="10">
        <v>46113</v>
      </c>
      <c r="B123" s="33">
        <v>130.90199999999999</v>
      </c>
      <c r="C123" s="31">
        <v>100</v>
      </c>
      <c r="D123" s="31">
        <f t="shared" ref="D123" si="2">100*(B123-B111)/B111</f>
        <v>3.7669441141498066</v>
      </c>
      <c r="E123">
        <v>100</v>
      </c>
      <c r="F123">
        <v>100</v>
      </c>
      <c r="G123">
        <v>3.7669441140000002</v>
      </c>
      <c r="H123">
        <v>3.5478758295000001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7D85-0A17-40A1-9D78-3EFDF1232F48}">
  <dimension ref="A1:L122"/>
  <sheetViews>
    <sheetView topLeftCell="A98" zoomScale="80" zoomScaleNormal="80" workbookViewId="0">
      <selection activeCell="K120" sqref="K120"/>
    </sheetView>
  </sheetViews>
  <sheetFormatPr defaultRowHeight="13.2"/>
  <cols>
    <col min="1" max="1" width="12.21875" customWidth="1"/>
    <col min="2" max="2" width="0" hidden="1" customWidth="1"/>
    <col min="5" max="6" width="3.5546875" bestFit="1" customWidth="1"/>
  </cols>
  <sheetData>
    <row r="1" spans="1:3" ht="15">
      <c r="A1" s="37" t="s">
        <v>0</v>
      </c>
      <c r="B1" s="37"/>
      <c r="C1" s="37"/>
    </row>
    <row r="2" spans="1:3" ht="15">
      <c r="A2" s="37" t="s">
        <v>302</v>
      </c>
      <c r="B2" s="37"/>
      <c r="C2" s="37"/>
    </row>
    <row r="3" spans="1:3" ht="15">
      <c r="A3" s="37" t="s">
        <v>2</v>
      </c>
      <c r="B3" s="37"/>
      <c r="C3" s="37"/>
    </row>
    <row r="4" spans="1:3" ht="15">
      <c r="A4" s="37" t="s">
        <v>3</v>
      </c>
      <c r="B4" s="37"/>
      <c r="C4" s="37"/>
    </row>
    <row r="5" spans="1:3" ht="15">
      <c r="A5" s="37" t="s">
        <v>303</v>
      </c>
      <c r="B5" s="37"/>
      <c r="C5" s="37"/>
    </row>
    <row r="6" spans="1:3" ht="15">
      <c r="A6" s="37" t="s">
        <v>470</v>
      </c>
      <c r="B6" s="37"/>
      <c r="C6" s="37"/>
    </row>
    <row r="7" spans="1:3">
      <c r="A7" s="38"/>
      <c r="B7" s="38"/>
      <c r="C7" s="38"/>
    </row>
    <row r="8" spans="1:3" ht="15">
      <c r="A8" s="37" t="s">
        <v>6</v>
      </c>
      <c r="B8" s="37" t="s">
        <v>7</v>
      </c>
      <c r="C8" s="37" t="s">
        <v>471</v>
      </c>
    </row>
    <row r="11" spans="1:3" ht="15">
      <c r="A11" s="74" t="s">
        <v>9</v>
      </c>
      <c r="B11" s="74" t="s">
        <v>6</v>
      </c>
    </row>
    <row r="12" spans="1:3" ht="15">
      <c r="A12" s="75">
        <v>42736</v>
      </c>
      <c r="B12" s="73">
        <v>99.450999999999993</v>
      </c>
    </row>
    <row r="13" spans="1:3" ht="15">
      <c r="A13" s="75">
        <v>42767</v>
      </c>
      <c r="B13" s="73">
        <v>99.585999999999999</v>
      </c>
    </row>
    <row r="14" spans="1:3" ht="15">
      <c r="A14" s="75">
        <v>42795</v>
      </c>
      <c r="B14" s="73">
        <v>99.534999999999997</v>
      </c>
    </row>
    <row r="15" spans="1:3" ht="15">
      <c r="A15" s="75">
        <v>42826</v>
      </c>
      <c r="B15" s="73">
        <v>99.724999999999994</v>
      </c>
    </row>
    <row r="16" spans="1:3" ht="15">
      <c r="A16" s="75">
        <v>42856</v>
      </c>
      <c r="B16" s="73">
        <v>99.682000000000002</v>
      </c>
    </row>
    <row r="17" spans="1:9" ht="15">
      <c r="A17" s="75">
        <v>42887</v>
      </c>
      <c r="B17" s="73">
        <v>99.766000000000005</v>
      </c>
    </row>
    <row r="18" spans="1:9" ht="15">
      <c r="A18" s="75">
        <v>42917</v>
      </c>
      <c r="B18" s="73">
        <v>99.802999999999997</v>
      </c>
    </row>
    <row r="19" spans="1:9" ht="15">
      <c r="A19" s="75">
        <v>42948</v>
      </c>
      <c r="B19" s="73">
        <v>100.027</v>
      </c>
    </row>
    <row r="20" spans="1:9" ht="15">
      <c r="A20" s="75">
        <v>42979</v>
      </c>
      <c r="B20" s="73">
        <v>100.4</v>
      </c>
    </row>
    <row r="21" spans="1:9" ht="15">
      <c r="A21" s="75">
        <v>43009</v>
      </c>
      <c r="B21" s="73">
        <v>100.53100000000001</v>
      </c>
    </row>
    <row r="22" spans="1:9" ht="15">
      <c r="A22" s="75">
        <v>43040</v>
      </c>
      <c r="B22" s="73">
        <v>100.675</v>
      </c>
    </row>
    <row r="23" spans="1:9" ht="15">
      <c r="A23" s="75">
        <v>43070</v>
      </c>
      <c r="B23" s="73">
        <v>100.821</v>
      </c>
      <c r="C23" s="77" t="s">
        <v>491</v>
      </c>
      <c r="D23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5">
      <c r="A24" s="10">
        <v>43101</v>
      </c>
      <c r="B24" s="73">
        <v>101.199</v>
      </c>
      <c r="C24" s="31">
        <v>1</v>
      </c>
      <c r="D24" s="31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472</v>
      </c>
    </row>
    <row r="25" spans="1:9" ht="15">
      <c r="A25" s="10">
        <v>43132</v>
      </c>
      <c r="B25" s="73">
        <v>101.416</v>
      </c>
      <c r="C25" s="31">
        <v>2</v>
      </c>
      <c r="D25" s="31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473</v>
      </c>
    </row>
    <row r="26" spans="1:9" ht="15">
      <c r="A26" s="10">
        <v>43160</v>
      </c>
      <c r="B26" s="73">
        <v>101.524</v>
      </c>
      <c r="C26" s="31">
        <v>3</v>
      </c>
      <c r="D26" s="31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 ht="15">
      <c r="A27" s="10">
        <v>43191</v>
      </c>
      <c r="B27" s="73">
        <v>101.76600000000001</v>
      </c>
      <c r="C27" s="31">
        <v>4</v>
      </c>
      <c r="D27" s="31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 ht="15">
      <c r="A28" s="10">
        <v>43221</v>
      </c>
      <c r="B28" s="73">
        <v>101.941</v>
      </c>
      <c r="C28" s="31">
        <v>5</v>
      </c>
      <c r="D28" s="31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 ht="15">
      <c r="A29" s="16">
        <v>43252</v>
      </c>
      <c r="B29" s="73">
        <v>102.029</v>
      </c>
      <c r="C29" s="31">
        <v>6</v>
      </c>
      <c r="D29" s="31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 ht="15">
      <c r="A30" s="10">
        <v>43282</v>
      </c>
      <c r="B30" s="73">
        <v>102.137</v>
      </c>
      <c r="C30" s="31">
        <v>7</v>
      </c>
      <c r="D30" s="31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 ht="15">
      <c r="A31" s="10">
        <v>43313</v>
      </c>
      <c r="B31" s="73">
        <v>102.208</v>
      </c>
      <c r="C31" s="31">
        <v>8</v>
      </c>
      <c r="D31" s="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 ht="15">
      <c r="A32" s="10">
        <v>43344</v>
      </c>
      <c r="B32" s="73">
        <v>102.41800000000001</v>
      </c>
      <c r="C32" s="31">
        <v>9</v>
      </c>
      <c r="D32" s="31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 ht="15">
      <c r="A33" s="10">
        <v>43374</v>
      </c>
      <c r="B33" s="73">
        <v>102.595</v>
      </c>
      <c r="C33" s="31">
        <v>10</v>
      </c>
      <c r="D33" s="31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 ht="15">
      <c r="A34" s="10">
        <v>43405</v>
      </c>
      <c r="B34" s="73">
        <v>102.63</v>
      </c>
      <c r="C34" s="31">
        <v>11</v>
      </c>
      <c r="D34" s="31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 ht="15">
      <c r="A35" s="10">
        <v>43435</v>
      </c>
      <c r="B35" s="73">
        <v>102.70099999999999</v>
      </c>
      <c r="C35" s="31">
        <v>12</v>
      </c>
      <c r="D35" s="31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 ht="15">
      <c r="A36" s="16">
        <v>43466</v>
      </c>
      <c r="B36" s="73">
        <v>102.648</v>
      </c>
      <c r="C36" s="31">
        <v>13</v>
      </c>
      <c r="D36" s="31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 ht="15">
      <c r="A37" s="10">
        <v>43497</v>
      </c>
      <c r="B37" s="73">
        <v>102.836</v>
      </c>
      <c r="C37" s="31">
        <v>14</v>
      </c>
      <c r="D37" s="31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 ht="15">
      <c r="A38" s="10">
        <v>43525</v>
      </c>
      <c r="B38" s="73">
        <v>103.069</v>
      </c>
      <c r="C38" s="31">
        <v>15</v>
      </c>
      <c r="D38" s="31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 ht="15">
      <c r="A39" s="10">
        <v>43556</v>
      </c>
      <c r="B39" s="73">
        <v>103.36</v>
      </c>
      <c r="C39" s="31">
        <v>16</v>
      </c>
      <c r="D39" s="31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 ht="15">
      <c r="A40" s="10">
        <v>43586</v>
      </c>
      <c r="B40" s="73">
        <v>103.435</v>
      </c>
      <c r="C40" s="31">
        <v>17</v>
      </c>
      <c r="D40" s="31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 ht="15">
      <c r="A41" s="16">
        <v>43617</v>
      </c>
      <c r="B41" s="73">
        <v>103.48399999999999</v>
      </c>
      <c r="C41" s="31">
        <v>18</v>
      </c>
      <c r="D41" s="31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 ht="15">
      <c r="A42" s="10">
        <v>43647</v>
      </c>
      <c r="B42" s="73">
        <v>103.622</v>
      </c>
      <c r="C42" s="31">
        <v>19</v>
      </c>
      <c r="D42" s="31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 ht="15">
      <c r="A43" s="10">
        <v>43678</v>
      </c>
      <c r="B43" s="73">
        <v>103.67</v>
      </c>
      <c r="C43" s="31">
        <v>20</v>
      </c>
      <c r="D43" s="31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 ht="15">
      <c r="A44" s="10">
        <v>43709</v>
      </c>
      <c r="B44" s="73">
        <v>103.733</v>
      </c>
      <c r="C44" s="31">
        <v>21</v>
      </c>
      <c r="D44" s="31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 ht="15">
      <c r="A45" s="10">
        <v>43739</v>
      </c>
      <c r="B45" s="73">
        <v>103.917</v>
      </c>
      <c r="C45" s="31">
        <v>22</v>
      </c>
      <c r="D45" s="31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 ht="15">
      <c r="A46" s="16">
        <v>43770</v>
      </c>
      <c r="B46" s="73">
        <v>104.024</v>
      </c>
      <c r="C46" s="31">
        <v>23</v>
      </c>
      <c r="D46" s="31">
        <f t="shared" si="0"/>
        <v>1.3582773068303668</v>
      </c>
      <c r="E46">
        <v>23</v>
      </c>
      <c r="F46">
        <v>23</v>
      </c>
      <c r="G46">
        <v>1.358277307</v>
      </c>
      <c r="H46">
        <v>1.7470874236</v>
      </c>
      <c r="I46" t="s">
        <v>223</v>
      </c>
    </row>
    <row r="47" spans="1:9" ht="15">
      <c r="A47" s="10">
        <v>43800</v>
      </c>
      <c r="B47" s="73">
        <v>104.307</v>
      </c>
      <c r="C47" s="31">
        <v>24</v>
      </c>
      <c r="D47" s="31">
        <f t="shared" si="0"/>
        <v>1.5637627676458932</v>
      </c>
      <c r="E47">
        <v>24</v>
      </c>
      <c r="F47">
        <v>24</v>
      </c>
      <c r="G47">
        <v>1.5637627679999999</v>
      </c>
      <c r="H47">
        <v>1.5794906720999999</v>
      </c>
      <c r="I47" t="s">
        <v>224</v>
      </c>
    </row>
    <row r="48" spans="1:9" ht="15">
      <c r="A48" s="10">
        <v>43831</v>
      </c>
      <c r="B48" s="73">
        <v>104.49</v>
      </c>
      <c r="C48" s="31">
        <v>25</v>
      </c>
      <c r="D48" s="31">
        <f t="shared" si="0"/>
        <v>1.7944821136310487</v>
      </c>
      <c r="E48">
        <v>25</v>
      </c>
      <c r="F48">
        <v>25</v>
      </c>
      <c r="G48">
        <v>1.794482114</v>
      </c>
      <c r="H48">
        <v>1.4118939205000001</v>
      </c>
      <c r="I48" t="s">
        <v>225</v>
      </c>
    </row>
    <row r="49" spans="1:9" ht="15">
      <c r="A49" s="10">
        <v>43862</v>
      </c>
      <c r="B49" s="73">
        <v>104.57299999999999</v>
      </c>
      <c r="C49" s="31">
        <v>26</v>
      </c>
      <c r="D49" s="31">
        <f t="shared" si="0"/>
        <v>1.6890972033140095</v>
      </c>
      <c r="E49">
        <v>26</v>
      </c>
      <c r="F49">
        <v>26</v>
      </c>
      <c r="G49">
        <v>1.689097203</v>
      </c>
      <c r="H49">
        <v>1.244297169</v>
      </c>
      <c r="I49" t="s">
        <v>226</v>
      </c>
    </row>
    <row r="50" spans="1:9" ht="15">
      <c r="A50" s="10">
        <v>43891</v>
      </c>
      <c r="B50" s="73">
        <v>104.271</v>
      </c>
      <c r="C50" s="31">
        <v>27</v>
      </c>
      <c r="D50" s="31">
        <f t="shared" si="0"/>
        <v>1.1662090444265474</v>
      </c>
      <c r="E50">
        <v>27</v>
      </c>
      <c r="F50">
        <v>27</v>
      </c>
      <c r="G50">
        <v>1.1662090439999999</v>
      </c>
      <c r="H50">
        <v>1.0767004174999999</v>
      </c>
      <c r="I50" t="s">
        <v>227</v>
      </c>
    </row>
    <row r="51" spans="1:9" ht="15">
      <c r="A51" s="10">
        <v>43922</v>
      </c>
      <c r="B51" s="73">
        <v>103.83799999999999</v>
      </c>
      <c r="C51" s="31">
        <v>28</v>
      </c>
      <c r="D51" s="31">
        <f t="shared" si="0"/>
        <v>0.46246130030959215</v>
      </c>
      <c r="E51">
        <v>28</v>
      </c>
      <c r="F51">
        <v>28</v>
      </c>
      <c r="G51">
        <v>0.46246130000000002</v>
      </c>
      <c r="H51">
        <v>0.90910366600000003</v>
      </c>
      <c r="I51" t="s">
        <v>228</v>
      </c>
    </row>
    <row r="52" spans="1:9" ht="15">
      <c r="A52" s="10">
        <v>43952</v>
      </c>
      <c r="B52" s="73">
        <v>103.94199999999999</v>
      </c>
      <c r="C52" s="31">
        <v>29</v>
      </c>
      <c r="D52" s="31">
        <f t="shared" si="0"/>
        <v>0.49016290423936848</v>
      </c>
      <c r="E52">
        <v>29</v>
      </c>
      <c r="F52">
        <v>29</v>
      </c>
      <c r="G52">
        <v>0.49016290400000001</v>
      </c>
      <c r="H52">
        <v>0.74150691440000005</v>
      </c>
      <c r="I52" t="s">
        <v>229</v>
      </c>
    </row>
    <row r="53" spans="1:9" ht="15">
      <c r="A53" s="10">
        <v>43983</v>
      </c>
      <c r="B53" s="73">
        <v>104.27</v>
      </c>
      <c r="C53" s="31">
        <v>30</v>
      </c>
      <c r="D53" s="31">
        <f t="shared" si="0"/>
        <v>0.75953770631208828</v>
      </c>
      <c r="E53">
        <v>30</v>
      </c>
      <c r="F53">
        <v>30</v>
      </c>
      <c r="G53">
        <v>0.75953770600000003</v>
      </c>
      <c r="H53">
        <v>0.57391016289999996</v>
      </c>
      <c r="I53" t="s">
        <v>230</v>
      </c>
    </row>
    <row r="54" spans="1:9" ht="15">
      <c r="A54" s="16">
        <v>44013</v>
      </c>
      <c r="B54" s="73">
        <v>104.578</v>
      </c>
      <c r="C54" s="31">
        <v>31</v>
      </c>
      <c r="D54" s="31">
        <f t="shared" si="0"/>
        <v>0.92258400725714917</v>
      </c>
      <c r="E54">
        <v>31</v>
      </c>
      <c r="F54">
        <v>31</v>
      </c>
      <c r="G54">
        <v>0.92258400699999998</v>
      </c>
      <c r="H54">
        <v>0.94683608340000003</v>
      </c>
      <c r="I54" t="s">
        <v>386</v>
      </c>
    </row>
    <row r="55" spans="1:9" ht="15">
      <c r="A55" s="10">
        <v>44044</v>
      </c>
      <c r="B55" s="73">
        <v>104.87</v>
      </c>
      <c r="C55" s="31">
        <v>32</v>
      </c>
      <c r="D55" s="31">
        <f t="shared" si="0"/>
        <v>1.1575190508343811</v>
      </c>
      <c r="E55">
        <v>32</v>
      </c>
      <c r="F55">
        <v>32</v>
      </c>
      <c r="G55">
        <v>1.157519051</v>
      </c>
      <c r="H55">
        <v>1.0510707502000001</v>
      </c>
      <c r="I55" t="s">
        <v>387</v>
      </c>
    </row>
    <row r="56" spans="1:9" ht="15">
      <c r="A56" s="10">
        <v>44075</v>
      </c>
      <c r="B56" s="73">
        <v>105.057</v>
      </c>
      <c r="C56" s="31">
        <v>33</v>
      </c>
      <c r="D56" s="31">
        <f t="shared" si="0"/>
        <v>1.2763537157895732</v>
      </c>
      <c r="E56">
        <v>33</v>
      </c>
      <c r="F56">
        <v>33</v>
      </c>
      <c r="G56">
        <v>1.276353716</v>
      </c>
      <c r="H56">
        <v>1.1553054169999999</v>
      </c>
      <c r="I56" t="s">
        <v>388</v>
      </c>
    </row>
    <row r="57" spans="1:9" ht="15">
      <c r="A57" s="10">
        <v>44105</v>
      </c>
      <c r="B57" s="73">
        <v>105.151</v>
      </c>
      <c r="C57" s="31">
        <v>34</v>
      </c>
      <c r="D57" s="31">
        <f t="shared" si="0"/>
        <v>1.1874861668446881</v>
      </c>
      <c r="E57">
        <v>34</v>
      </c>
      <c r="F57">
        <v>34</v>
      </c>
      <c r="G57">
        <v>1.1874861670000001</v>
      </c>
      <c r="H57">
        <v>1.2595400836999999</v>
      </c>
      <c r="I57" t="s">
        <v>234</v>
      </c>
    </row>
    <row r="58" spans="1:9" ht="15">
      <c r="A58" s="10">
        <v>44136</v>
      </c>
      <c r="B58" s="73">
        <v>105.258</v>
      </c>
      <c r="C58" s="31">
        <v>35</v>
      </c>
      <c r="D58" s="31">
        <f t="shared" si="0"/>
        <v>1.1862647081442692</v>
      </c>
      <c r="E58">
        <v>35</v>
      </c>
      <c r="F58">
        <v>35</v>
      </c>
      <c r="G58">
        <v>1.1862647079999999</v>
      </c>
      <c r="H58">
        <v>1.3637747505</v>
      </c>
      <c r="I58" t="s">
        <v>109</v>
      </c>
    </row>
    <row r="59" spans="1:9" ht="15">
      <c r="A59" s="10">
        <v>44166</v>
      </c>
      <c r="B59" s="73">
        <v>105.699</v>
      </c>
      <c r="C59" s="31">
        <v>36</v>
      </c>
      <c r="D59" s="31">
        <f t="shared" si="0"/>
        <v>1.3345221317840565</v>
      </c>
      <c r="E59">
        <v>36</v>
      </c>
      <c r="F59">
        <v>36</v>
      </c>
      <c r="G59">
        <v>1.334522132</v>
      </c>
      <c r="H59">
        <v>1.4680094173</v>
      </c>
      <c r="I59" t="s">
        <v>389</v>
      </c>
    </row>
    <row r="60" spans="1:9" ht="15">
      <c r="A60" s="10">
        <v>44197</v>
      </c>
      <c r="B60" s="73">
        <v>106.14700000000001</v>
      </c>
      <c r="C60" s="31">
        <v>37</v>
      </c>
      <c r="D60" s="31">
        <f t="shared" si="0"/>
        <v>1.5857976839889087</v>
      </c>
      <c r="E60">
        <v>37</v>
      </c>
      <c r="F60">
        <v>37</v>
      </c>
      <c r="G60">
        <v>1.5857976840000001</v>
      </c>
      <c r="H60">
        <v>1.5722440841</v>
      </c>
      <c r="I60" t="s">
        <v>390</v>
      </c>
    </row>
    <row r="61" spans="1:9" ht="15">
      <c r="A61" s="10">
        <v>44228</v>
      </c>
      <c r="B61" s="73">
        <v>106.5</v>
      </c>
      <c r="C61" s="31">
        <v>38</v>
      </c>
      <c r="D61" s="31">
        <f t="shared" si="0"/>
        <v>1.8427318715155985</v>
      </c>
      <c r="E61">
        <v>38</v>
      </c>
      <c r="F61">
        <v>38</v>
      </c>
      <c r="G61">
        <v>1.8427318720000001</v>
      </c>
      <c r="H61">
        <v>1.6764787508000001</v>
      </c>
      <c r="I61" t="s">
        <v>391</v>
      </c>
    </row>
    <row r="62" spans="1:9" ht="15">
      <c r="A62" s="16">
        <v>44256</v>
      </c>
      <c r="B62" s="73">
        <v>107.054</v>
      </c>
      <c r="C62" s="31">
        <v>39</v>
      </c>
      <c r="D62" s="31">
        <f t="shared" si="0"/>
        <v>2.6690067228663783</v>
      </c>
      <c r="E62">
        <v>39</v>
      </c>
      <c r="F62">
        <v>39</v>
      </c>
      <c r="G62">
        <v>2.6690067229999999</v>
      </c>
      <c r="H62">
        <v>2.9773678308</v>
      </c>
      <c r="I62" t="s">
        <v>238</v>
      </c>
    </row>
    <row r="63" spans="1:9" ht="15">
      <c r="A63" s="10">
        <v>44287</v>
      </c>
      <c r="B63" s="73">
        <v>107.61799999999999</v>
      </c>
      <c r="C63" s="31">
        <v>40</v>
      </c>
      <c r="D63" s="31">
        <f t="shared" si="0"/>
        <v>3.6402858298503453</v>
      </c>
      <c r="E63">
        <v>40</v>
      </c>
      <c r="F63">
        <v>40</v>
      </c>
      <c r="G63">
        <v>3.6402858299999998</v>
      </c>
      <c r="H63">
        <v>3.4047939680999999</v>
      </c>
      <c r="I63" t="s">
        <v>110</v>
      </c>
    </row>
    <row r="64" spans="1:9" ht="15">
      <c r="A64" s="10">
        <v>44317</v>
      </c>
      <c r="B64" s="73">
        <v>108.175</v>
      </c>
      <c r="C64" s="31">
        <v>41</v>
      </c>
      <c r="D64" s="31">
        <f t="shared" si="0"/>
        <v>4.072463489253626</v>
      </c>
      <c r="E64">
        <v>41</v>
      </c>
      <c r="F64">
        <v>41</v>
      </c>
      <c r="G64">
        <v>4.0724634890000004</v>
      </c>
      <c r="H64">
        <v>3.8322201053999998</v>
      </c>
      <c r="I64" t="s">
        <v>392</v>
      </c>
    </row>
    <row r="65" spans="1:9" ht="15">
      <c r="A65" s="10">
        <v>44348</v>
      </c>
      <c r="B65" s="73">
        <v>108.76</v>
      </c>
      <c r="C65" s="31">
        <v>42</v>
      </c>
      <c r="D65" s="31">
        <f t="shared" si="0"/>
        <v>4.3061283207058683</v>
      </c>
      <c r="E65">
        <v>42</v>
      </c>
      <c r="F65">
        <v>42</v>
      </c>
      <c r="G65">
        <v>4.3061283210000001</v>
      </c>
      <c r="H65">
        <v>4.2596462426999997</v>
      </c>
      <c r="I65" t="s">
        <v>393</v>
      </c>
    </row>
    <row r="66" spans="1:9" ht="15">
      <c r="A66" s="10">
        <v>44378</v>
      </c>
      <c r="B66" s="73">
        <v>109.256</v>
      </c>
      <c r="C66" s="31">
        <v>43</v>
      </c>
      <c r="D66" s="31">
        <f t="shared" si="0"/>
        <v>4.4732161640115482</v>
      </c>
      <c r="E66">
        <v>43</v>
      </c>
      <c r="F66">
        <v>43</v>
      </c>
      <c r="G66">
        <v>4.4732161640000001</v>
      </c>
      <c r="H66">
        <v>4.68707238</v>
      </c>
      <c r="I66" t="s">
        <v>394</v>
      </c>
    </row>
    <row r="67" spans="1:9" ht="15">
      <c r="A67" s="16">
        <v>44409</v>
      </c>
      <c r="B67" s="73">
        <v>109.67400000000001</v>
      </c>
      <c r="C67" s="31">
        <v>44</v>
      </c>
      <c r="D67" s="31">
        <f t="shared" si="0"/>
        <v>4.5809096977209895</v>
      </c>
      <c r="E67">
        <v>44</v>
      </c>
      <c r="F67">
        <v>44</v>
      </c>
      <c r="G67">
        <v>4.5809096980000001</v>
      </c>
      <c r="H67">
        <v>4.4823504152</v>
      </c>
      <c r="I67" t="s">
        <v>242</v>
      </c>
    </row>
    <row r="68" spans="1:9" ht="15">
      <c r="A68" s="10">
        <v>44440</v>
      </c>
      <c r="B68" s="73">
        <v>110.03400000000001</v>
      </c>
      <c r="C68" s="31">
        <v>45</v>
      </c>
      <c r="D68" s="31">
        <f t="shared" si="0"/>
        <v>4.7374282532339622</v>
      </c>
      <c r="E68">
        <v>45</v>
      </c>
      <c r="F68">
        <v>45</v>
      </c>
      <c r="G68">
        <v>4.737428253</v>
      </c>
      <c r="H68">
        <v>4.9138385435999998</v>
      </c>
      <c r="I68" t="s">
        <v>243</v>
      </c>
    </row>
    <row r="69" spans="1:9" ht="15">
      <c r="A69" s="10">
        <v>44470</v>
      </c>
      <c r="B69" s="73">
        <v>110.762</v>
      </c>
      <c r="C69" s="31">
        <v>46</v>
      </c>
      <c r="D69" s="31">
        <f t="shared" si="0"/>
        <v>5.3361356525377825</v>
      </c>
      <c r="E69">
        <v>46</v>
      </c>
      <c r="F69">
        <v>46</v>
      </c>
      <c r="G69">
        <v>5.3361356530000004</v>
      </c>
      <c r="H69">
        <v>5.3453266719999997</v>
      </c>
      <c r="I69" t="s">
        <v>395</v>
      </c>
    </row>
    <row r="70" spans="1:9" ht="15">
      <c r="A70" s="10">
        <v>44501</v>
      </c>
      <c r="B70" s="73">
        <v>111.5</v>
      </c>
      <c r="C70" s="31">
        <v>47</v>
      </c>
      <c r="D70" s="31">
        <f t="shared" si="0"/>
        <v>5.9301905793383929</v>
      </c>
      <c r="E70">
        <v>47</v>
      </c>
      <c r="F70">
        <v>47</v>
      </c>
      <c r="G70">
        <v>5.9301905789999996</v>
      </c>
      <c r="H70">
        <v>5.7768148004000004</v>
      </c>
      <c r="I70" t="s">
        <v>396</v>
      </c>
    </row>
    <row r="71" spans="1:9" ht="15">
      <c r="A71" s="10">
        <v>44531</v>
      </c>
      <c r="B71" s="73">
        <v>112.191</v>
      </c>
      <c r="C71" s="31">
        <v>48</v>
      </c>
      <c r="D71" s="31">
        <f t="shared" si="0"/>
        <v>6.1419691766241922</v>
      </c>
      <c r="E71">
        <v>48</v>
      </c>
      <c r="F71">
        <v>48</v>
      </c>
      <c r="G71">
        <v>6.141969177</v>
      </c>
      <c r="H71">
        <v>6.2083029288000002</v>
      </c>
      <c r="I71" t="s">
        <v>397</v>
      </c>
    </row>
    <row r="72" spans="1:9" ht="15">
      <c r="A72" s="16">
        <v>44562</v>
      </c>
      <c r="B72" s="73">
        <v>112.80500000000001</v>
      </c>
      <c r="C72" s="31">
        <v>49</v>
      </c>
      <c r="D72" s="31">
        <f t="shared" si="0"/>
        <v>6.2724335120163559</v>
      </c>
      <c r="E72">
        <v>49</v>
      </c>
      <c r="F72">
        <v>49</v>
      </c>
      <c r="G72">
        <v>6.2724335120000001</v>
      </c>
      <c r="H72">
        <v>6.3616295271999999</v>
      </c>
      <c r="I72" t="s">
        <v>247</v>
      </c>
    </row>
    <row r="73" spans="1:9" ht="15">
      <c r="A73" s="10">
        <v>44593</v>
      </c>
      <c r="B73" s="73">
        <v>113.471</v>
      </c>
      <c r="C73" s="31">
        <v>50</v>
      </c>
      <c r="D73" s="31">
        <f t="shared" si="0"/>
        <v>6.54553990610329</v>
      </c>
      <c r="E73">
        <v>50</v>
      </c>
      <c r="F73">
        <v>50</v>
      </c>
      <c r="G73">
        <v>6.5455399060000001</v>
      </c>
      <c r="H73">
        <v>6.5147882140000002</v>
      </c>
      <c r="I73" t="s">
        <v>248</v>
      </c>
    </row>
    <row r="74" spans="1:9" ht="15">
      <c r="A74" s="10">
        <v>44621</v>
      </c>
      <c r="B74" s="73">
        <v>114.46899999999999</v>
      </c>
      <c r="C74" s="31">
        <v>51</v>
      </c>
      <c r="D74" s="31">
        <f t="shared" si="0"/>
        <v>6.9264109701645822</v>
      </c>
      <c r="E74">
        <v>51</v>
      </c>
      <c r="F74">
        <v>51</v>
      </c>
      <c r="G74">
        <v>6.9264109700000001</v>
      </c>
      <c r="H74">
        <v>6.6679469008999996</v>
      </c>
      <c r="I74" t="s">
        <v>398</v>
      </c>
    </row>
    <row r="75" spans="1:9" ht="15">
      <c r="A75" s="10">
        <v>44652</v>
      </c>
      <c r="B75" s="73">
        <v>114.812</v>
      </c>
      <c r="C75" s="31">
        <v>52</v>
      </c>
      <c r="D75" s="31">
        <f t="shared" si="0"/>
        <v>6.6847553383263056</v>
      </c>
      <c r="E75">
        <v>52</v>
      </c>
      <c r="F75">
        <v>52</v>
      </c>
      <c r="G75">
        <v>6.6847553380000004</v>
      </c>
      <c r="H75">
        <v>6.8211055878</v>
      </c>
      <c r="I75" t="s">
        <v>399</v>
      </c>
    </row>
    <row r="76" spans="1:9" ht="15">
      <c r="A76" s="10">
        <v>44682</v>
      </c>
      <c r="B76" s="73">
        <v>115.52500000000001</v>
      </c>
      <c r="C76" s="31">
        <v>53</v>
      </c>
      <c r="D76" s="31">
        <f t="shared" si="0"/>
        <v>6.7945458747400131</v>
      </c>
      <c r="E76">
        <v>53</v>
      </c>
      <c r="F76">
        <v>53</v>
      </c>
      <c r="G76">
        <v>6.7945458749999998</v>
      </c>
      <c r="H76">
        <v>6.9742642746000003</v>
      </c>
      <c r="I76" t="s">
        <v>400</v>
      </c>
    </row>
    <row r="77" spans="1:9" ht="15">
      <c r="A77" s="10">
        <v>44713</v>
      </c>
      <c r="B77" s="73">
        <v>116.63800000000001</v>
      </c>
      <c r="C77" s="31">
        <v>54</v>
      </c>
      <c r="D77" s="31">
        <f t="shared" si="0"/>
        <v>7.2434718646561231</v>
      </c>
      <c r="E77">
        <v>54</v>
      </c>
      <c r="F77">
        <v>54</v>
      </c>
      <c r="G77">
        <v>7.2434718650000001</v>
      </c>
      <c r="H77">
        <v>7.1274229614999998</v>
      </c>
      <c r="I77" t="s">
        <v>252</v>
      </c>
    </row>
    <row r="78" spans="1:9" ht="15">
      <c r="A78" s="16">
        <v>44743</v>
      </c>
      <c r="B78" s="73">
        <v>116.631</v>
      </c>
      <c r="C78" s="31">
        <v>55</v>
      </c>
      <c r="D78" s="31">
        <f t="shared" si="0"/>
        <v>6.7502013619389327</v>
      </c>
      <c r="E78">
        <v>55</v>
      </c>
      <c r="F78">
        <v>55</v>
      </c>
      <c r="G78">
        <v>6.7502013620000003</v>
      </c>
      <c r="H78">
        <v>6.9469908236000002</v>
      </c>
      <c r="I78" t="s">
        <v>253</v>
      </c>
    </row>
    <row r="79" spans="1:9" ht="15">
      <c r="A79" s="10">
        <v>44774</v>
      </c>
      <c r="B79" s="73">
        <v>116.956</v>
      </c>
      <c r="C79" s="31">
        <v>56</v>
      </c>
      <c r="D79" s="31">
        <f t="shared" si="0"/>
        <v>6.6396775899483886</v>
      </c>
      <c r="E79">
        <v>56</v>
      </c>
      <c r="F79">
        <v>56</v>
      </c>
      <c r="G79">
        <v>6.6396775899999998</v>
      </c>
      <c r="H79">
        <v>6.7041185396999996</v>
      </c>
      <c r="I79" t="s">
        <v>401</v>
      </c>
    </row>
    <row r="80" spans="1:9" ht="15">
      <c r="A80" s="10">
        <v>44805</v>
      </c>
      <c r="B80" s="73">
        <v>117.371</v>
      </c>
      <c r="C80" s="31">
        <v>57</v>
      </c>
      <c r="D80" s="31">
        <f t="shared" si="0"/>
        <v>6.6679390006725088</v>
      </c>
      <c r="E80">
        <v>57</v>
      </c>
      <c r="F80">
        <v>57</v>
      </c>
      <c r="G80">
        <v>6.6679390009999997</v>
      </c>
      <c r="H80">
        <v>6.4612462557999999</v>
      </c>
      <c r="I80" t="s">
        <v>402</v>
      </c>
    </row>
    <row r="81" spans="1:9" ht="15">
      <c r="A81" s="10">
        <v>44835</v>
      </c>
      <c r="B81" s="73">
        <v>117.919</v>
      </c>
      <c r="C81" s="31">
        <v>58</v>
      </c>
      <c r="D81" s="31">
        <f t="shared" si="0"/>
        <v>6.4616023545981438</v>
      </c>
      <c r="E81">
        <v>58</v>
      </c>
      <c r="F81">
        <v>58</v>
      </c>
      <c r="G81">
        <v>6.4616023550000001</v>
      </c>
      <c r="H81">
        <v>6.2183739719000002</v>
      </c>
      <c r="I81" t="s">
        <v>403</v>
      </c>
    </row>
    <row r="82" spans="1:9" ht="15">
      <c r="A82" s="10">
        <v>44866</v>
      </c>
      <c r="B82" s="73">
        <v>118.224</v>
      </c>
      <c r="C82" s="31">
        <v>59</v>
      </c>
      <c r="D82" s="31">
        <f t="shared" si="0"/>
        <v>6.0304932735426036</v>
      </c>
      <c r="E82">
        <v>59</v>
      </c>
      <c r="F82">
        <v>59</v>
      </c>
      <c r="G82">
        <v>6.0304932740000003</v>
      </c>
      <c r="H82">
        <v>5.9755016880999996</v>
      </c>
      <c r="I82" t="s">
        <v>257</v>
      </c>
    </row>
    <row r="83" spans="1:9" ht="15">
      <c r="A83" s="10">
        <v>44896</v>
      </c>
      <c r="B83" s="73">
        <v>118.384</v>
      </c>
      <c r="C83" s="31">
        <v>60</v>
      </c>
      <c r="D83" s="31">
        <f t="shared" si="0"/>
        <v>5.520050627946981</v>
      </c>
      <c r="E83">
        <v>60</v>
      </c>
      <c r="F83">
        <v>60</v>
      </c>
      <c r="G83">
        <v>5.5200506279999999</v>
      </c>
      <c r="H83">
        <v>5.7326294041999999</v>
      </c>
      <c r="I83" t="s">
        <v>258</v>
      </c>
    </row>
    <row r="84" spans="1:9" ht="15">
      <c r="A84" s="10">
        <v>44927</v>
      </c>
      <c r="B84" s="73">
        <v>119.018</v>
      </c>
      <c r="C84" s="31">
        <v>61</v>
      </c>
      <c r="D84" s="31">
        <f t="shared" si="0"/>
        <v>5.5077345862328739</v>
      </c>
      <c r="E84">
        <v>61</v>
      </c>
      <c r="F84">
        <v>61</v>
      </c>
      <c r="G84">
        <v>5.5077345859999998</v>
      </c>
      <c r="H84">
        <v>5.4897571203000002</v>
      </c>
      <c r="I84" t="s">
        <v>404</v>
      </c>
    </row>
    <row r="85" spans="1:9" ht="15">
      <c r="A85" s="10">
        <v>44958</v>
      </c>
      <c r="B85" s="73">
        <v>119.369</v>
      </c>
      <c r="C85" s="31">
        <v>62</v>
      </c>
      <c r="D85" s="31">
        <f t="shared" si="0"/>
        <v>5.1978038441540093</v>
      </c>
      <c r="E85">
        <v>62</v>
      </c>
      <c r="F85">
        <v>62</v>
      </c>
      <c r="G85">
        <v>5.1978038440000001</v>
      </c>
      <c r="H85">
        <v>5.2468848363999996</v>
      </c>
      <c r="I85" t="s">
        <v>405</v>
      </c>
    </row>
    <row r="86" spans="1:9" ht="15">
      <c r="A86" s="16">
        <v>44986</v>
      </c>
      <c r="B86" s="73">
        <v>119.538</v>
      </c>
      <c r="C86" s="31">
        <v>63</v>
      </c>
      <c r="D86" s="31">
        <f t="shared" si="0"/>
        <v>4.4282731569245843</v>
      </c>
      <c r="E86">
        <v>63</v>
      </c>
      <c r="F86">
        <v>63</v>
      </c>
      <c r="G86">
        <v>4.4282731569999996</v>
      </c>
      <c r="H86">
        <v>4.5662531303999998</v>
      </c>
      <c r="I86" t="s">
        <v>406</v>
      </c>
    </row>
    <row r="87" spans="1:9" ht="15">
      <c r="A87" s="10">
        <v>45017</v>
      </c>
      <c r="B87" s="73">
        <v>119.95099999999999</v>
      </c>
      <c r="C87" s="31">
        <v>64</v>
      </c>
      <c r="D87" s="31">
        <f t="shared" si="0"/>
        <v>4.4760129603177337</v>
      </c>
      <c r="E87">
        <v>64</v>
      </c>
      <c r="F87">
        <v>64</v>
      </c>
      <c r="G87">
        <v>4.4760129600000003</v>
      </c>
      <c r="H87">
        <v>4.2432577756000001</v>
      </c>
      <c r="I87" t="s">
        <v>262</v>
      </c>
    </row>
    <row r="88" spans="1:9" ht="15">
      <c r="A88" s="10">
        <v>45047</v>
      </c>
      <c r="B88" s="73">
        <v>120.15</v>
      </c>
      <c r="C88" s="31">
        <v>65</v>
      </c>
      <c r="D88" s="31">
        <f t="shared" si="0"/>
        <v>4.003462454014282</v>
      </c>
      <c r="E88">
        <v>65</v>
      </c>
      <c r="F88">
        <v>65</v>
      </c>
      <c r="G88">
        <v>4.0034624540000001</v>
      </c>
      <c r="H88">
        <v>3.9202624207999999</v>
      </c>
      <c r="I88" t="s">
        <v>263</v>
      </c>
    </row>
    <row r="89" spans="1:9" ht="15">
      <c r="A89" s="10">
        <v>45078</v>
      </c>
      <c r="B89" s="73">
        <v>120.46899999999999</v>
      </c>
      <c r="C89" s="31">
        <v>66</v>
      </c>
      <c r="D89" s="31">
        <f t="shared" si="0"/>
        <v>3.2845213395291317</v>
      </c>
      <c r="E89">
        <v>66</v>
      </c>
      <c r="F89">
        <v>66</v>
      </c>
      <c r="G89">
        <v>3.28452134</v>
      </c>
      <c r="H89">
        <v>3.5972670660000001</v>
      </c>
      <c r="I89" t="s">
        <v>407</v>
      </c>
    </row>
    <row r="90" spans="1:9" ht="15">
      <c r="A90" s="10">
        <v>45108</v>
      </c>
      <c r="B90" s="73">
        <v>120.607</v>
      </c>
      <c r="C90" s="31">
        <v>67</v>
      </c>
      <c r="D90" s="31">
        <f t="shared" ref="D90:D121" si="1">100*(B90-B78)/B78</f>
        <v>3.4090421928989714</v>
      </c>
      <c r="E90">
        <v>67</v>
      </c>
      <c r="F90">
        <v>67</v>
      </c>
      <c r="G90">
        <v>3.4090421929999999</v>
      </c>
      <c r="H90">
        <v>3.2742717111999999</v>
      </c>
      <c r="I90" t="s">
        <v>408</v>
      </c>
    </row>
    <row r="91" spans="1:9" ht="15">
      <c r="A91" s="16">
        <v>45139</v>
      </c>
      <c r="B91" s="73">
        <v>120.97</v>
      </c>
      <c r="C91" s="31">
        <v>68</v>
      </c>
      <c r="D91" s="31">
        <f t="shared" si="1"/>
        <v>3.4320599199698996</v>
      </c>
      <c r="E91">
        <v>68</v>
      </c>
      <c r="F91">
        <v>68</v>
      </c>
      <c r="G91">
        <v>3.4320599199999999</v>
      </c>
      <c r="H91">
        <v>3.4899922596000001</v>
      </c>
      <c r="I91" t="s">
        <v>409</v>
      </c>
    </row>
    <row r="92" spans="1:9" ht="15">
      <c r="A92" s="10">
        <v>45170</v>
      </c>
      <c r="B92" s="73">
        <v>121.419</v>
      </c>
      <c r="C92" s="31">
        <v>69</v>
      </c>
      <c r="D92" s="31">
        <f t="shared" si="1"/>
        <v>3.448892827018601</v>
      </c>
      <c r="E92">
        <v>69</v>
      </c>
      <c r="F92">
        <v>69</v>
      </c>
      <c r="G92">
        <v>3.4488928269999999</v>
      </c>
      <c r="H92">
        <v>3.2886531622000001</v>
      </c>
      <c r="I92" t="s">
        <v>273</v>
      </c>
    </row>
    <row r="93" spans="1:9" ht="15">
      <c r="A93" s="10">
        <v>45200</v>
      </c>
      <c r="B93" s="73">
        <v>121.48399999999999</v>
      </c>
      <c r="C93" s="31">
        <v>70</v>
      </c>
      <c r="D93" s="31">
        <f t="shared" si="1"/>
        <v>3.0232617305099243</v>
      </c>
      <c r="E93">
        <v>70</v>
      </c>
      <c r="F93">
        <v>70</v>
      </c>
      <c r="G93">
        <v>3.0232617309999998</v>
      </c>
      <c r="H93">
        <v>3.0873140648000001</v>
      </c>
      <c r="I93" t="s">
        <v>274</v>
      </c>
    </row>
    <row r="94" spans="1:9" ht="15">
      <c r="A94" s="10">
        <v>45231</v>
      </c>
      <c r="B94" s="73">
        <v>121.49299999999999</v>
      </c>
      <c r="C94" s="31">
        <v>71</v>
      </c>
      <c r="D94" s="31">
        <f t="shared" si="1"/>
        <v>2.7650899986466295</v>
      </c>
      <c r="E94">
        <v>71</v>
      </c>
      <c r="F94">
        <v>71</v>
      </c>
      <c r="G94">
        <v>2.7650899990000002</v>
      </c>
      <c r="H94">
        <v>2.8859749674000001</v>
      </c>
      <c r="I94" t="s">
        <v>410</v>
      </c>
    </row>
    <row r="95" spans="1:9" ht="15">
      <c r="A95" s="10">
        <v>45261</v>
      </c>
      <c r="B95" s="73">
        <v>121.66</v>
      </c>
      <c r="C95" s="31">
        <v>72</v>
      </c>
      <c r="D95" s="31">
        <f t="shared" si="1"/>
        <v>2.7672658467360423</v>
      </c>
      <c r="E95">
        <v>72</v>
      </c>
      <c r="F95">
        <v>72</v>
      </c>
      <c r="G95">
        <v>2.767265847</v>
      </c>
      <c r="H95">
        <v>2.6846358700000001</v>
      </c>
      <c r="I95" t="s">
        <v>411</v>
      </c>
    </row>
    <row r="96" spans="1:9" ht="15">
      <c r="A96" s="16">
        <v>45292</v>
      </c>
      <c r="B96" s="73">
        <v>122.23</v>
      </c>
      <c r="C96" s="14">
        <v>73</v>
      </c>
      <c r="D96" s="14">
        <f t="shared" si="1"/>
        <v>2.6987514493606035</v>
      </c>
      <c r="E96">
        <v>73</v>
      </c>
      <c r="F96">
        <v>73</v>
      </c>
      <c r="G96">
        <v>2.698751449</v>
      </c>
      <c r="H96">
        <v>2.8644340452999999</v>
      </c>
      <c r="I96" t="s">
        <v>412</v>
      </c>
    </row>
    <row r="97" spans="1:9" ht="15">
      <c r="A97" s="10">
        <v>45323</v>
      </c>
      <c r="B97" s="73">
        <v>122.598</v>
      </c>
      <c r="C97" s="31">
        <v>74</v>
      </c>
      <c r="D97" s="31">
        <f t="shared" si="1"/>
        <v>2.7050574269701508</v>
      </c>
      <c r="E97">
        <v>74</v>
      </c>
      <c r="F97">
        <v>74</v>
      </c>
      <c r="G97">
        <v>2.7050574269999998</v>
      </c>
      <c r="H97">
        <v>2.8048834963</v>
      </c>
      <c r="I97" t="s">
        <v>339</v>
      </c>
    </row>
    <row r="98" spans="1:9" ht="15">
      <c r="A98" s="10">
        <v>45352</v>
      </c>
      <c r="B98" s="73">
        <v>123.038</v>
      </c>
      <c r="C98" s="31">
        <v>75</v>
      </c>
      <c r="D98" s="31">
        <f t="shared" si="1"/>
        <v>2.9279392327126104</v>
      </c>
      <c r="E98">
        <v>75</v>
      </c>
      <c r="F98">
        <v>75</v>
      </c>
      <c r="G98">
        <v>2.927939233</v>
      </c>
      <c r="H98">
        <v>2.7453329472000001</v>
      </c>
      <c r="I98" t="s">
        <v>340</v>
      </c>
    </row>
    <row r="99" spans="1:9" ht="15">
      <c r="A99" s="10">
        <v>45383</v>
      </c>
      <c r="B99" s="73">
        <v>123.34099999999999</v>
      </c>
      <c r="C99" s="31">
        <v>76</v>
      </c>
      <c r="D99" s="31">
        <f t="shared" si="1"/>
        <v>2.8261540128885967</v>
      </c>
      <c r="E99">
        <v>76</v>
      </c>
      <c r="F99">
        <v>76</v>
      </c>
      <c r="G99">
        <v>2.826154013</v>
      </c>
      <c r="H99">
        <v>2.6857823982000002</v>
      </c>
      <c r="I99" t="s">
        <v>413</v>
      </c>
    </row>
    <row r="100" spans="1:9" ht="15">
      <c r="A100" s="10">
        <v>45413</v>
      </c>
      <c r="B100" s="73">
        <v>123.348</v>
      </c>
      <c r="C100" s="31">
        <v>77</v>
      </c>
      <c r="D100" s="31">
        <f t="shared" si="1"/>
        <v>2.6616729088639146</v>
      </c>
      <c r="E100">
        <v>77</v>
      </c>
      <c r="F100">
        <v>77</v>
      </c>
      <c r="G100">
        <v>2.661672909</v>
      </c>
      <c r="H100">
        <v>2.6262318490999998</v>
      </c>
      <c r="I100" t="s">
        <v>414</v>
      </c>
    </row>
    <row r="101" spans="1:9" ht="15">
      <c r="A101" s="10">
        <v>45444</v>
      </c>
      <c r="B101" s="73">
        <v>123.539</v>
      </c>
      <c r="C101" s="31">
        <v>78</v>
      </c>
      <c r="D101" s="31">
        <f t="shared" si="1"/>
        <v>2.5483734404701686</v>
      </c>
      <c r="E101">
        <v>78</v>
      </c>
      <c r="F101">
        <v>78</v>
      </c>
      <c r="G101">
        <v>2.5483734400000002</v>
      </c>
      <c r="H101">
        <v>2.5666813001</v>
      </c>
      <c r="I101" t="s">
        <v>415</v>
      </c>
    </row>
    <row r="102" spans="1:9" ht="15">
      <c r="A102" s="10">
        <v>45474</v>
      </c>
      <c r="B102" s="73">
        <v>123.736</v>
      </c>
      <c r="C102" s="31">
        <v>79</v>
      </c>
      <c r="D102" s="31">
        <f t="shared" si="1"/>
        <v>2.5943767774673154</v>
      </c>
      <c r="E102">
        <v>79</v>
      </c>
      <c r="F102">
        <v>79</v>
      </c>
      <c r="G102">
        <v>2.5943767769999999</v>
      </c>
      <c r="H102">
        <v>2.507130751</v>
      </c>
      <c r="I102" t="s">
        <v>425</v>
      </c>
    </row>
    <row r="103" spans="1:9" ht="15">
      <c r="A103" s="10">
        <v>45505</v>
      </c>
      <c r="B103" s="73">
        <v>123.889</v>
      </c>
      <c r="C103" s="31">
        <v>80</v>
      </c>
      <c r="D103" s="31">
        <f t="shared" si="1"/>
        <v>2.412994957427459</v>
      </c>
      <c r="E103">
        <v>80</v>
      </c>
      <c r="F103">
        <v>80</v>
      </c>
      <c r="G103">
        <v>2.412994957</v>
      </c>
      <c r="H103">
        <v>2.4475802020000001</v>
      </c>
      <c r="I103" t="s">
        <v>426</v>
      </c>
    </row>
    <row r="104" spans="1:9" ht="15">
      <c r="A104" s="10">
        <v>45536</v>
      </c>
      <c r="B104" s="73">
        <v>124.164</v>
      </c>
      <c r="C104" s="31">
        <v>81</v>
      </c>
      <c r="D104" s="31">
        <f t="shared" si="1"/>
        <v>2.2607664368838525</v>
      </c>
      <c r="E104">
        <v>81</v>
      </c>
      <c r="F104">
        <v>81</v>
      </c>
      <c r="G104">
        <v>2.260766437</v>
      </c>
      <c r="H104">
        <v>2.3880296528999998</v>
      </c>
      <c r="I104" t="s">
        <v>460</v>
      </c>
    </row>
    <row r="105" spans="1:9" ht="15">
      <c r="A105" s="16">
        <v>45566</v>
      </c>
      <c r="B105" s="73">
        <v>124.494</v>
      </c>
      <c r="C105" s="14">
        <v>82</v>
      </c>
      <c r="D105" s="14">
        <f t="shared" si="1"/>
        <v>2.4776925356425581</v>
      </c>
      <c r="E105">
        <v>82</v>
      </c>
      <c r="F105">
        <v>82</v>
      </c>
      <c r="G105">
        <v>2.4776925360000002</v>
      </c>
      <c r="H105">
        <v>2.5252588901999999</v>
      </c>
      <c r="I105" t="s">
        <v>461</v>
      </c>
    </row>
    <row r="106" spans="1:9" ht="15">
      <c r="A106" s="10">
        <v>45597</v>
      </c>
      <c r="B106" s="73">
        <v>124.637</v>
      </c>
      <c r="C106" s="31">
        <v>83</v>
      </c>
      <c r="D106" s="31">
        <f t="shared" si="1"/>
        <v>2.5878034125422911</v>
      </c>
      <c r="E106">
        <v>83</v>
      </c>
      <c r="F106">
        <v>83</v>
      </c>
      <c r="G106">
        <v>2.5878034130000001</v>
      </c>
      <c r="H106">
        <v>2.5737749292999998</v>
      </c>
      <c r="I106" t="s">
        <v>462</v>
      </c>
    </row>
    <row r="107" spans="1:9" ht="15">
      <c r="A107" s="10">
        <v>45627</v>
      </c>
      <c r="B107" s="73">
        <v>124.979</v>
      </c>
      <c r="C107" s="31">
        <v>84</v>
      </c>
      <c r="D107" s="31">
        <f t="shared" si="1"/>
        <v>2.7280946901200087</v>
      </c>
      <c r="E107">
        <v>84</v>
      </c>
      <c r="F107">
        <v>84</v>
      </c>
      <c r="G107">
        <v>2.7280946899999998</v>
      </c>
      <c r="H107">
        <v>2.6222909684000002</v>
      </c>
      <c r="I107" s="76" t="s">
        <v>474</v>
      </c>
    </row>
    <row r="108" spans="1:9" ht="15">
      <c r="A108" s="10">
        <v>45658</v>
      </c>
      <c r="B108" s="73">
        <v>125.417</v>
      </c>
      <c r="C108" s="31">
        <v>85</v>
      </c>
      <c r="D108" s="31">
        <f t="shared" si="1"/>
        <v>2.6073795303935183</v>
      </c>
      <c r="E108">
        <v>85</v>
      </c>
      <c r="F108">
        <v>85</v>
      </c>
      <c r="G108">
        <v>2.6073795299999998</v>
      </c>
      <c r="H108">
        <v>2.6708070075000001</v>
      </c>
      <c r="I108" s="76" t="s">
        <v>475</v>
      </c>
    </row>
    <row r="109" spans="1:9" ht="15">
      <c r="A109" s="10">
        <v>45689</v>
      </c>
      <c r="B109" s="73">
        <v>125.92100000000001</v>
      </c>
      <c r="C109" s="31">
        <v>86</v>
      </c>
      <c r="D109" s="31">
        <f t="shared" si="1"/>
        <v>2.7104846734857073</v>
      </c>
      <c r="E109">
        <v>86</v>
      </c>
      <c r="F109">
        <v>86</v>
      </c>
      <c r="G109">
        <v>2.7104846729999998</v>
      </c>
      <c r="H109">
        <v>2.7193230466</v>
      </c>
      <c r="I109" s="76" t="s">
        <v>476</v>
      </c>
    </row>
    <row r="110" spans="1:9" ht="15">
      <c r="A110" s="50">
        <v>45717</v>
      </c>
      <c r="B110" s="73">
        <v>125.941</v>
      </c>
      <c r="C110" s="52">
        <v>87</v>
      </c>
      <c r="D110" s="52">
        <f t="shared" si="1"/>
        <v>2.3594336708984263</v>
      </c>
      <c r="E110">
        <v>87</v>
      </c>
      <c r="F110">
        <v>87</v>
      </c>
      <c r="G110">
        <v>2.3594336710000001</v>
      </c>
      <c r="H110">
        <v>2.2928801995999999</v>
      </c>
      <c r="I110" s="76" t="s">
        <v>477</v>
      </c>
    </row>
    <row r="111" spans="1:9" ht="15">
      <c r="A111" s="10">
        <v>45748</v>
      </c>
      <c r="B111" s="73">
        <v>126.15</v>
      </c>
      <c r="C111" s="31">
        <v>88</v>
      </c>
      <c r="D111" s="31">
        <f t="shared" si="1"/>
        <v>2.2774259978433871</v>
      </c>
      <c r="E111">
        <v>88</v>
      </c>
      <c r="F111">
        <v>88</v>
      </c>
      <c r="G111">
        <v>2.277425998</v>
      </c>
      <c r="H111">
        <v>2.3775900985999998</v>
      </c>
      <c r="I111" s="76" t="s">
        <v>478</v>
      </c>
    </row>
    <row r="112" spans="1:9" ht="15">
      <c r="A112" s="10">
        <v>45778</v>
      </c>
      <c r="B112" s="73">
        <v>126.38</v>
      </c>
      <c r="C112" s="31">
        <v>89</v>
      </c>
      <c r="D112" s="31">
        <f t="shared" si="1"/>
        <v>2.4580860654408636</v>
      </c>
      <c r="E112">
        <v>89</v>
      </c>
      <c r="F112">
        <v>89</v>
      </c>
      <c r="G112">
        <v>2.4580860649999998</v>
      </c>
      <c r="H112">
        <v>2.4622999977000002</v>
      </c>
    </row>
    <row r="113" spans="1:12" ht="15">
      <c r="A113" s="10">
        <v>45809</v>
      </c>
      <c r="B113" s="73">
        <v>126.74299999999999</v>
      </c>
      <c r="C113" s="31">
        <v>90</v>
      </c>
      <c r="D113" s="31">
        <f t="shared" si="1"/>
        <v>2.5935129797068082</v>
      </c>
      <c r="E113">
        <v>90</v>
      </c>
      <c r="F113">
        <v>90</v>
      </c>
      <c r="G113">
        <v>2.5935129799999999</v>
      </c>
      <c r="H113">
        <v>2.5470098967000001</v>
      </c>
      <c r="I113" t="s">
        <v>182</v>
      </c>
    </row>
    <row r="114" spans="1:12" ht="15">
      <c r="A114" s="10">
        <v>45839</v>
      </c>
      <c r="B114" s="73">
        <v>126.96</v>
      </c>
      <c r="C114" s="31">
        <v>91</v>
      </c>
      <c r="D114" s="31">
        <f t="shared" si="1"/>
        <v>2.6055472942393396</v>
      </c>
      <c r="E114">
        <v>91</v>
      </c>
      <c r="F114">
        <v>91</v>
      </c>
      <c r="G114">
        <v>2.605547294</v>
      </c>
      <c r="H114">
        <v>2.6317197958</v>
      </c>
      <c r="I114" t="s">
        <v>184</v>
      </c>
      <c r="J114" t="s">
        <v>185</v>
      </c>
      <c r="K114" t="s">
        <v>186</v>
      </c>
      <c r="L114" t="s">
        <v>187</v>
      </c>
    </row>
    <row r="115" spans="1:12" ht="15">
      <c r="A115" s="10">
        <v>45870</v>
      </c>
      <c r="B115" s="73">
        <v>127.29300000000001</v>
      </c>
      <c r="C115" s="31">
        <v>92</v>
      </c>
      <c r="D115" s="31">
        <f t="shared" si="1"/>
        <v>2.7476208541517089</v>
      </c>
      <c r="E115">
        <v>92</v>
      </c>
      <c r="F115">
        <v>92</v>
      </c>
      <c r="G115">
        <v>2.747620854</v>
      </c>
      <c r="H115">
        <v>2.7164296948</v>
      </c>
      <c r="I115" t="s">
        <v>188</v>
      </c>
      <c r="J115">
        <v>31</v>
      </c>
      <c r="K115">
        <v>27.638765151400001</v>
      </c>
      <c r="L115">
        <v>0.89157306940000003</v>
      </c>
    </row>
    <row r="116" spans="1:12" ht="15">
      <c r="A116" s="10">
        <v>45901</v>
      </c>
      <c r="B116" s="73">
        <v>127.625</v>
      </c>
      <c r="C116" s="31">
        <v>93</v>
      </c>
      <c r="D116" s="31">
        <f t="shared" si="1"/>
        <v>2.7874424148706538</v>
      </c>
      <c r="E116">
        <v>93</v>
      </c>
      <c r="F116">
        <v>93</v>
      </c>
      <c r="G116">
        <v>2.7874424150000001</v>
      </c>
      <c r="H116">
        <v>2.8011395937999999</v>
      </c>
      <c r="I116" t="s">
        <v>189</v>
      </c>
      <c r="J116">
        <v>67</v>
      </c>
      <c r="K116">
        <v>2.1986960023000002</v>
      </c>
      <c r="L116">
        <v>3.28163582E-2</v>
      </c>
    </row>
    <row r="117" spans="1:12" ht="15">
      <c r="A117" s="16">
        <v>45931</v>
      </c>
      <c r="B117" s="39">
        <v>127.871</v>
      </c>
      <c r="C117" s="14">
        <v>94</v>
      </c>
      <c r="D117" s="14">
        <f t="shared" si="1"/>
        <v>2.7125805259691194</v>
      </c>
      <c r="E117" s="14">
        <v>94</v>
      </c>
      <c r="F117" s="14">
        <v>94</v>
      </c>
      <c r="G117" s="14">
        <v>2.712580526</v>
      </c>
      <c r="H117" s="14">
        <v>2.6519134826999999</v>
      </c>
      <c r="I117" t="s">
        <v>190</v>
      </c>
      <c r="J117">
        <v>98</v>
      </c>
      <c r="K117">
        <v>297.81143824219998</v>
      </c>
    </row>
    <row r="118" spans="1:12" ht="15">
      <c r="A118" s="10">
        <v>45962</v>
      </c>
      <c r="B118" s="73">
        <v>128.15199999999999</v>
      </c>
      <c r="C118" s="31">
        <v>95</v>
      </c>
      <c r="D118" s="31">
        <f t="shared" si="1"/>
        <v>2.8201898312699973</v>
      </c>
      <c r="E118">
        <v>95</v>
      </c>
      <c r="F118">
        <v>95</v>
      </c>
      <c r="G118">
        <v>2.820189831</v>
      </c>
      <c r="H118">
        <v>2.7640385374999998</v>
      </c>
      <c r="I118" t="s">
        <v>479</v>
      </c>
    </row>
    <row r="119" spans="1:12" ht="15">
      <c r="A119" s="10">
        <v>45992</v>
      </c>
      <c r="B119" s="73">
        <v>128.57599999999999</v>
      </c>
      <c r="C119" s="31">
        <v>96</v>
      </c>
      <c r="D119" s="31">
        <f t="shared" si="1"/>
        <v>2.8780835180310245</v>
      </c>
      <c r="E119">
        <v>96</v>
      </c>
      <c r="F119">
        <v>96</v>
      </c>
      <c r="G119">
        <v>2.878083518</v>
      </c>
      <c r="H119">
        <v>2.8761635923000002</v>
      </c>
    </row>
    <row r="120" spans="1:12" ht="15">
      <c r="A120" s="10">
        <v>46023</v>
      </c>
      <c r="B120" s="73">
        <v>129</v>
      </c>
      <c r="C120" s="31">
        <v>97</v>
      </c>
      <c r="D120" s="31">
        <f t="shared" si="1"/>
        <v>2.856869483403365</v>
      </c>
      <c r="E120">
        <v>97</v>
      </c>
      <c r="F120">
        <v>97</v>
      </c>
      <c r="G120">
        <v>2.8568694830000001</v>
      </c>
      <c r="H120">
        <v>2.9882886471000001</v>
      </c>
      <c r="K120" s="31">
        <f>1-(K116/K117)</f>
        <v>0.9926171539438593</v>
      </c>
    </row>
    <row r="121" spans="1:12" ht="15">
      <c r="A121" s="10">
        <v>46054</v>
      </c>
      <c r="B121" s="73">
        <v>129.48400000000001</v>
      </c>
      <c r="C121" s="31">
        <v>98</v>
      </c>
      <c r="D121" s="31">
        <f t="shared" si="1"/>
        <v>2.8295518618816575</v>
      </c>
      <c r="E121">
        <v>98</v>
      </c>
      <c r="F121">
        <v>98</v>
      </c>
      <c r="G121">
        <v>2.8295518620000002</v>
      </c>
      <c r="H121">
        <v>3.1004137019</v>
      </c>
    </row>
    <row r="122" spans="1:12" ht="15">
      <c r="A122" s="10">
        <v>46082</v>
      </c>
      <c r="B122" s="73">
        <v>130.34399999999999</v>
      </c>
      <c r="C122" s="31">
        <v>99</v>
      </c>
      <c r="D122" s="31">
        <f t="shared" ref="D122" si="2">100*(B122-B110)/B110</f>
        <v>3.4960814984794402</v>
      </c>
      <c r="E122">
        <v>99</v>
      </c>
      <c r="F122">
        <v>99</v>
      </c>
      <c r="G122">
        <v>3.4960814980000001</v>
      </c>
      <c r="H122">
        <v>3.2125387566999999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2BBC-99A2-4CAD-A3A2-E1DE4BC705F6}">
  <dimension ref="A1:L123"/>
  <sheetViews>
    <sheetView topLeftCell="A103" workbookViewId="0">
      <selection activeCell="K120" sqref="K120"/>
    </sheetView>
  </sheetViews>
  <sheetFormatPr defaultRowHeight="13.2"/>
  <cols>
    <col min="1" max="1" width="10.5546875" customWidth="1"/>
    <col min="3" max="3" width="4.77734375" customWidth="1"/>
    <col min="5" max="6" width="3.5546875" bestFit="1" customWidth="1"/>
  </cols>
  <sheetData>
    <row r="1" spans="1:3" ht="15">
      <c r="A1" s="37" t="s">
        <v>0</v>
      </c>
      <c r="B1" s="37"/>
      <c r="C1" s="37"/>
    </row>
    <row r="2" spans="1:3" ht="15">
      <c r="A2" s="37" t="s">
        <v>302</v>
      </c>
      <c r="B2" s="37"/>
      <c r="C2" s="37"/>
    </row>
    <row r="3" spans="1:3" ht="15">
      <c r="A3" s="37" t="s">
        <v>2</v>
      </c>
      <c r="B3" s="37"/>
      <c r="C3" s="37"/>
    </row>
    <row r="4" spans="1:3" ht="15">
      <c r="A4" s="37" t="s">
        <v>3</v>
      </c>
      <c r="B4" s="37"/>
      <c r="C4" s="37"/>
    </row>
    <row r="5" spans="1:3" ht="15">
      <c r="A5" s="37" t="s">
        <v>303</v>
      </c>
      <c r="B5" s="37"/>
      <c r="C5" s="37"/>
    </row>
    <row r="6" spans="1:3" ht="15">
      <c r="A6" s="37" t="s">
        <v>457</v>
      </c>
      <c r="B6" s="37"/>
      <c r="C6" s="37"/>
    </row>
    <row r="7" spans="1:3">
      <c r="A7" s="38"/>
      <c r="B7" s="38"/>
      <c r="C7" s="38"/>
    </row>
    <row r="8" spans="1:3" ht="15">
      <c r="A8" s="37" t="s">
        <v>6</v>
      </c>
      <c r="B8" s="37" t="s">
        <v>7</v>
      </c>
      <c r="C8" s="37" t="s">
        <v>458</v>
      </c>
    </row>
    <row r="11" spans="1:3" ht="15">
      <c r="A11" s="71" t="s">
        <v>9</v>
      </c>
      <c r="B11" s="71" t="s">
        <v>6</v>
      </c>
    </row>
    <row r="12" spans="1:3" ht="15">
      <c r="A12" s="72">
        <v>42736</v>
      </c>
      <c r="B12" s="70">
        <v>99.450999999999993</v>
      </c>
    </row>
    <row r="13" spans="1:3" ht="15">
      <c r="A13" s="72">
        <v>42767</v>
      </c>
      <c r="B13" s="70">
        <v>99.585999999999999</v>
      </c>
    </row>
    <row r="14" spans="1:3" ht="15">
      <c r="A14" s="72">
        <v>42795</v>
      </c>
      <c r="B14" s="70">
        <v>99.534999999999997</v>
      </c>
    </row>
    <row r="15" spans="1:3" ht="15">
      <c r="A15" s="72">
        <v>42826</v>
      </c>
      <c r="B15" s="70">
        <v>99.724999999999994</v>
      </c>
    </row>
    <row r="16" spans="1:3" ht="15">
      <c r="A16" s="72">
        <v>42856</v>
      </c>
      <c r="B16" s="70">
        <v>99.682000000000002</v>
      </c>
    </row>
    <row r="17" spans="1:9" ht="15">
      <c r="A17" s="72">
        <v>42887</v>
      </c>
      <c r="B17" s="70">
        <v>99.766000000000005</v>
      </c>
    </row>
    <row r="18" spans="1:9" ht="15">
      <c r="A18" s="72">
        <v>42917</v>
      </c>
      <c r="B18" s="70">
        <v>99.802999999999997</v>
      </c>
    </row>
    <row r="19" spans="1:9" ht="15">
      <c r="A19" s="72">
        <v>42948</v>
      </c>
      <c r="B19" s="70">
        <v>100.027</v>
      </c>
    </row>
    <row r="20" spans="1:9" ht="15">
      <c r="A20" s="72">
        <v>42979</v>
      </c>
      <c r="B20" s="70">
        <v>100.4</v>
      </c>
    </row>
    <row r="21" spans="1:9" ht="15">
      <c r="A21" s="72">
        <v>43009</v>
      </c>
      <c r="B21" s="70">
        <v>100.53100000000001</v>
      </c>
    </row>
    <row r="22" spans="1:9" ht="15">
      <c r="A22" s="72">
        <v>43040</v>
      </c>
      <c r="B22" s="70">
        <v>100.675</v>
      </c>
    </row>
    <row r="23" spans="1:9" ht="15">
      <c r="A23" s="72">
        <v>43070</v>
      </c>
      <c r="B23" s="70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5">
      <c r="A24" s="10">
        <v>43101</v>
      </c>
      <c r="B24" s="70">
        <v>101.199</v>
      </c>
      <c r="C24" s="31">
        <v>1</v>
      </c>
      <c r="D24" s="31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 ht="15">
      <c r="A25" s="10">
        <v>43132</v>
      </c>
      <c r="B25" s="70">
        <v>101.416</v>
      </c>
      <c r="C25" s="31">
        <v>2</v>
      </c>
      <c r="D25" s="31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459</v>
      </c>
    </row>
    <row r="26" spans="1:9" ht="15">
      <c r="A26" s="10">
        <v>43160</v>
      </c>
      <c r="B26" s="70">
        <v>101.524</v>
      </c>
      <c r="C26" s="31">
        <v>3</v>
      </c>
      <c r="D26" s="31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 ht="15">
      <c r="A27" s="10">
        <v>43191</v>
      </c>
      <c r="B27" s="70">
        <v>101.76600000000001</v>
      </c>
      <c r="C27" s="31">
        <v>4</v>
      </c>
      <c r="D27" s="31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 ht="15">
      <c r="A28" s="10">
        <v>43221</v>
      </c>
      <c r="B28" s="70">
        <v>101.941</v>
      </c>
      <c r="C28" s="31">
        <v>5</v>
      </c>
      <c r="D28" s="31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 ht="15">
      <c r="A29" s="16">
        <v>43252</v>
      </c>
      <c r="B29" s="70">
        <v>102.029</v>
      </c>
      <c r="C29" s="31">
        <v>6</v>
      </c>
      <c r="D29" s="31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 ht="15">
      <c r="A30" s="10">
        <v>43282</v>
      </c>
      <c r="B30" s="70">
        <v>102.137</v>
      </c>
      <c r="C30" s="31">
        <v>7</v>
      </c>
      <c r="D30" s="31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 ht="15">
      <c r="A31" s="10">
        <v>43313</v>
      </c>
      <c r="B31" s="70">
        <v>102.208</v>
      </c>
      <c r="C31" s="31">
        <v>8</v>
      </c>
      <c r="D31" s="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 ht="15">
      <c r="A32" s="10">
        <v>43344</v>
      </c>
      <c r="B32" s="70">
        <v>102.41800000000001</v>
      </c>
      <c r="C32" s="31">
        <v>9</v>
      </c>
      <c r="D32" s="31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 ht="15">
      <c r="A33" s="10">
        <v>43374</v>
      </c>
      <c r="B33" s="70">
        <v>102.595</v>
      </c>
      <c r="C33" s="31">
        <v>10</v>
      </c>
      <c r="D33" s="31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 ht="15">
      <c r="A34" s="10">
        <v>43405</v>
      </c>
      <c r="B34" s="70">
        <v>102.63</v>
      </c>
      <c r="C34" s="31">
        <v>11</v>
      </c>
      <c r="D34" s="31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 ht="15">
      <c r="A35" s="10">
        <v>43435</v>
      </c>
      <c r="B35" s="70">
        <v>102.70099999999999</v>
      </c>
      <c r="C35" s="31">
        <v>12</v>
      </c>
      <c r="D35" s="31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 ht="15">
      <c r="A36" s="16">
        <v>43466</v>
      </c>
      <c r="B36" s="70">
        <v>102.648</v>
      </c>
      <c r="C36" s="31">
        <v>13</v>
      </c>
      <c r="D36" s="31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 ht="15">
      <c r="A37" s="10">
        <v>43497</v>
      </c>
      <c r="B37" s="70">
        <v>102.836</v>
      </c>
      <c r="C37" s="31">
        <v>14</v>
      </c>
      <c r="D37" s="31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 ht="15">
      <c r="A38" s="10">
        <v>43525</v>
      </c>
      <c r="B38" s="70">
        <v>103.069</v>
      </c>
      <c r="C38" s="31">
        <v>15</v>
      </c>
      <c r="D38" s="31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 ht="15">
      <c r="A39" s="10">
        <v>43556</v>
      </c>
      <c r="B39" s="70">
        <v>103.36</v>
      </c>
      <c r="C39" s="31">
        <v>16</v>
      </c>
      <c r="D39" s="31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 ht="15">
      <c r="A40" s="10">
        <v>43586</v>
      </c>
      <c r="B40" s="70">
        <v>103.435</v>
      </c>
      <c r="C40" s="31">
        <v>17</v>
      </c>
      <c r="D40" s="31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 ht="15">
      <c r="A41" s="16">
        <v>43617</v>
      </c>
      <c r="B41" s="70">
        <v>103.48399999999999</v>
      </c>
      <c r="C41" s="31">
        <v>18</v>
      </c>
      <c r="D41" s="31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 ht="15">
      <c r="A42" s="10">
        <v>43647</v>
      </c>
      <c r="B42" s="70">
        <v>103.622</v>
      </c>
      <c r="C42" s="31">
        <v>19</v>
      </c>
      <c r="D42" s="31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 ht="15">
      <c r="A43" s="10">
        <v>43678</v>
      </c>
      <c r="B43" s="70">
        <v>103.67</v>
      </c>
      <c r="C43" s="31">
        <v>20</v>
      </c>
      <c r="D43" s="31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 ht="15">
      <c r="A44" s="10">
        <v>43709</v>
      </c>
      <c r="B44" s="70">
        <v>103.733</v>
      </c>
      <c r="C44" s="31">
        <v>21</v>
      </c>
      <c r="D44" s="31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 ht="15">
      <c r="A45" s="10">
        <v>43739</v>
      </c>
      <c r="B45" s="70">
        <v>103.917</v>
      </c>
      <c r="C45" s="31">
        <v>22</v>
      </c>
      <c r="D45" s="31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 ht="15">
      <c r="A46" s="16">
        <v>43770</v>
      </c>
      <c r="B46" s="70">
        <v>104.024</v>
      </c>
      <c r="C46" s="31">
        <v>23</v>
      </c>
      <c r="D46" s="31">
        <f t="shared" si="0"/>
        <v>1.3582773068303668</v>
      </c>
      <c r="E46">
        <v>23</v>
      </c>
      <c r="F46">
        <v>23</v>
      </c>
      <c r="G46">
        <v>1.358277307</v>
      </c>
      <c r="H46">
        <v>1.7470874236</v>
      </c>
      <c r="I46" t="s">
        <v>223</v>
      </c>
    </row>
    <row r="47" spans="1:9" ht="15">
      <c r="A47" s="10">
        <v>43800</v>
      </c>
      <c r="B47" s="70">
        <v>104.307</v>
      </c>
      <c r="C47" s="31">
        <v>24</v>
      </c>
      <c r="D47" s="31">
        <f t="shared" si="0"/>
        <v>1.5637627676458932</v>
      </c>
      <c r="E47">
        <v>24</v>
      </c>
      <c r="F47">
        <v>24</v>
      </c>
      <c r="G47">
        <v>1.5637627679999999</v>
      </c>
      <c r="H47">
        <v>1.5794906720999999</v>
      </c>
      <c r="I47" t="s">
        <v>224</v>
      </c>
    </row>
    <row r="48" spans="1:9" ht="15">
      <c r="A48" s="10">
        <v>43831</v>
      </c>
      <c r="B48" s="70">
        <v>104.49</v>
      </c>
      <c r="C48" s="31">
        <v>25</v>
      </c>
      <c r="D48" s="31">
        <f t="shared" si="0"/>
        <v>1.7944821136310487</v>
      </c>
      <c r="E48">
        <v>25</v>
      </c>
      <c r="F48">
        <v>25</v>
      </c>
      <c r="G48">
        <v>1.794482114</v>
      </c>
      <c r="H48">
        <v>1.4118939205000001</v>
      </c>
      <c r="I48" t="s">
        <v>225</v>
      </c>
    </row>
    <row r="49" spans="1:9" ht="15">
      <c r="A49" s="10">
        <v>43862</v>
      </c>
      <c r="B49" s="70">
        <v>104.57299999999999</v>
      </c>
      <c r="C49" s="31">
        <v>26</v>
      </c>
      <c r="D49" s="31">
        <f t="shared" si="0"/>
        <v>1.6890972033140095</v>
      </c>
      <c r="E49">
        <v>26</v>
      </c>
      <c r="F49">
        <v>26</v>
      </c>
      <c r="G49">
        <v>1.689097203</v>
      </c>
      <c r="H49">
        <v>1.244297169</v>
      </c>
      <c r="I49" t="s">
        <v>226</v>
      </c>
    </row>
    <row r="50" spans="1:9" ht="15">
      <c r="A50" s="10">
        <v>43891</v>
      </c>
      <c r="B50" s="70">
        <v>104.271</v>
      </c>
      <c r="C50" s="31">
        <v>27</v>
      </c>
      <c r="D50" s="31">
        <f t="shared" si="0"/>
        <v>1.1662090444265474</v>
      </c>
      <c r="E50">
        <v>27</v>
      </c>
      <c r="F50">
        <v>27</v>
      </c>
      <c r="G50">
        <v>1.1662090439999999</v>
      </c>
      <c r="H50">
        <v>1.0767004174999999</v>
      </c>
      <c r="I50" t="s">
        <v>227</v>
      </c>
    </row>
    <row r="51" spans="1:9" ht="15">
      <c r="A51" s="10">
        <v>43922</v>
      </c>
      <c r="B51" s="70">
        <v>103.83799999999999</v>
      </c>
      <c r="C51" s="31">
        <v>28</v>
      </c>
      <c r="D51" s="31">
        <f t="shared" si="0"/>
        <v>0.46246130030959215</v>
      </c>
      <c r="E51">
        <v>28</v>
      </c>
      <c r="F51">
        <v>28</v>
      </c>
      <c r="G51">
        <v>0.46246130000000002</v>
      </c>
      <c r="H51">
        <v>0.90910366600000003</v>
      </c>
      <c r="I51" t="s">
        <v>228</v>
      </c>
    </row>
    <row r="52" spans="1:9" ht="15">
      <c r="A52" s="10">
        <v>43952</v>
      </c>
      <c r="B52" s="70">
        <v>103.94199999999999</v>
      </c>
      <c r="C52" s="31">
        <v>29</v>
      </c>
      <c r="D52" s="31">
        <f t="shared" si="0"/>
        <v>0.49016290423936848</v>
      </c>
      <c r="E52">
        <v>29</v>
      </c>
      <c r="F52">
        <v>29</v>
      </c>
      <c r="G52">
        <v>0.49016290400000001</v>
      </c>
      <c r="H52">
        <v>0.74150691440000005</v>
      </c>
      <c r="I52" t="s">
        <v>229</v>
      </c>
    </row>
    <row r="53" spans="1:9" ht="15">
      <c r="A53" s="10">
        <v>43983</v>
      </c>
      <c r="B53" s="70">
        <v>104.27</v>
      </c>
      <c r="C53" s="31">
        <v>30</v>
      </c>
      <c r="D53" s="31">
        <f t="shared" si="0"/>
        <v>0.75953770631208828</v>
      </c>
      <c r="E53">
        <v>30</v>
      </c>
      <c r="F53">
        <v>30</v>
      </c>
      <c r="G53">
        <v>0.75953770600000003</v>
      </c>
      <c r="H53">
        <v>0.57391016289999996</v>
      </c>
      <c r="I53" t="s">
        <v>230</v>
      </c>
    </row>
    <row r="54" spans="1:9" ht="15">
      <c r="A54" s="16">
        <v>44013</v>
      </c>
      <c r="B54" s="70">
        <v>104.578</v>
      </c>
      <c r="C54" s="31">
        <v>31</v>
      </c>
      <c r="D54" s="31">
        <f t="shared" si="0"/>
        <v>0.92258400725714917</v>
      </c>
      <c r="E54">
        <v>31</v>
      </c>
      <c r="F54">
        <v>31</v>
      </c>
      <c r="G54">
        <v>0.92258400699999998</v>
      </c>
      <c r="H54">
        <v>0.94683608340000003</v>
      </c>
      <c r="I54" t="s">
        <v>386</v>
      </c>
    </row>
    <row r="55" spans="1:9" ht="15">
      <c r="A55" s="10">
        <v>44044</v>
      </c>
      <c r="B55" s="70">
        <v>104.87</v>
      </c>
      <c r="C55" s="31">
        <v>32</v>
      </c>
      <c r="D55" s="31">
        <f t="shared" si="0"/>
        <v>1.1575190508343811</v>
      </c>
      <c r="E55">
        <v>32</v>
      </c>
      <c r="F55">
        <v>32</v>
      </c>
      <c r="G55">
        <v>1.157519051</v>
      </c>
      <c r="H55">
        <v>1.0510707502000001</v>
      </c>
      <c r="I55" t="s">
        <v>387</v>
      </c>
    </row>
    <row r="56" spans="1:9" ht="15">
      <c r="A56" s="10">
        <v>44075</v>
      </c>
      <c r="B56" s="70">
        <v>105.057</v>
      </c>
      <c r="C56" s="31">
        <v>33</v>
      </c>
      <c r="D56" s="31">
        <f t="shared" si="0"/>
        <v>1.2763537157895732</v>
      </c>
      <c r="E56">
        <v>33</v>
      </c>
      <c r="F56">
        <v>33</v>
      </c>
      <c r="G56">
        <v>1.276353716</v>
      </c>
      <c r="H56">
        <v>1.1553054169999999</v>
      </c>
      <c r="I56" t="s">
        <v>388</v>
      </c>
    </row>
    <row r="57" spans="1:9" ht="15">
      <c r="A57" s="10">
        <v>44105</v>
      </c>
      <c r="B57" s="70">
        <v>105.151</v>
      </c>
      <c r="C57" s="31">
        <v>34</v>
      </c>
      <c r="D57" s="31">
        <f t="shared" si="0"/>
        <v>1.1874861668446881</v>
      </c>
      <c r="E57">
        <v>34</v>
      </c>
      <c r="F57">
        <v>34</v>
      </c>
      <c r="G57">
        <v>1.1874861670000001</v>
      </c>
      <c r="H57">
        <v>1.2595400836999999</v>
      </c>
      <c r="I57" t="s">
        <v>234</v>
      </c>
    </row>
    <row r="58" spans="1:9" ht="15">
      <c r="A58" s="10">
        <v>44136</v>
      </c>
      <c r="B58" s="70">
        <v>105.258</v>
      </c>
      <c r="C58" s="31">
        <v>35</v>
      </c>
      <c r="D58" s="31">
        <f t="shared" si="0"/>
        <v>1.1862647081442692</v>
      </c>
      <c r="E58">
        <v>35</v>
      </c>
      <c r="F58">
        <v>35</v>
      </c>
      <c r="G58">
        <v>1.1862647079999999</v>
      </c>
      <c r="H58">
        <v>1.3637747505</v>
      </c>
      <c r="I58" t="s">
        <v>109</v>
      </c>
    </row>
    <row r="59" spans="1:9" ht="15">
      <c r="A59" s="10">
        <v>44166</v>
      </c>
      <c r="B59" s="70">
        <v>105.699</v>
      </c>
      <c r="C59" s="31">
        <v>36</v>
      </c>
      <c r="D59" s="31">
        <f t="shared" si="0"/>
        <v>1.3345221317840565</v>
      </c>
      <c r="E59">
        <v>36</v>
      </c>
      <c r="F59">
        <v>36</v>
      </c>
      <c r="G59">
        <v>1.334522132</v>
      </c>
      <c r="H59">
        <v>1.4680094173</v>
      </c>
      <c r="I59" t="s">
        <v>389</v>
      </c>
    </row>
    <row r="60" spans="1:9" ht="15">
      <c r="A60" s="10">
        <v>44197</v>
      </c>
      <c r="B60" s="70">
        <v>106.14700000000001</v>
      </c>
      <c r="C60" s="31">
        <v>37</v>
      </c>
      <c r="D60" s="31">
        <f t="shared" si="0"/>
        <v>1.5857976839889087</v>
      </c>
      <c r="E60">
        <v>37</v>
      </c>
      <c r="F60">
        <v>37</v>
      </c>
      <c r="G60">
        <v>1.5857976840000001</v>
      </c>
      <c r="H60">
        <v>1.5722440841</v>
      </c>
      <c r="I60" t="s">
        <v>390</v>
      </c>
    </row>
    <row r="61" spans="1:9" ht="15">
      <c r="A61" s="10">
        <v>44228</v>
      </c>
      <c r="B61" s="70">
        <v>106.5</v>
      </c>
      <c r="C61" s="31">
        <v>38</v>
      </c>
      <c r="D61" s="31">
        <f t="shared" si="0"/>
        <v>1.8427318715155985</v>
      </c>
      <c r="E61">
        <v>38</v>
      </c>
      <c r="F61">
        <v>38</v>
      </c>
      <c r="G61">
        <v>1.8427318720000001</v>
      </c>
      <c r="H61">
        <v>1.6764787508000001</v>
      </c>
      <c r="I61" t="s">
        <v>391</v>
      </c>
    </row>
    <row r="62" spans="1:9" ht="15">
      <c r="A62" s="16">
        <v>44256</v>
      </c>
      <c r="B62" s="70">
        <v>107.054</v>
      </c>
      <c r="C62" s="31">
        <v>39</v>
      </c>
      <c r="D62" s="31">
        <f t="shared" si="0"/>
        <v>2.6690067228663783</v>
      </c>
      <c r="E62">
        <v>39</v>
      </c>
      <c r="F62">
        <v>39</v>
      </c>
      <c r="G62">
        <v>2.6690067229999999</v>
      </c>
      <c r="H62">
        <v>2.9773678308</v>
      </c>
      <c r="I62" t="s">
        <v>238</v>
      </c>
    </row>
    <row r="63" spans="1:9" ht="15">
      <c r="A63" s="10">
        <v>44287</v>
      </c>
      <c r="B63" s="70">
        <v>107.61799999999999</v>
      </c>
      <c r="C63" s="31">
        <v>40</v>
      </c>
      <c r="D63" s="31">
        <f t="shared" si="0"/>
        <v>3.6402858298503453</v>
      </c>
      <c r="E63">
        <v>40</v>
      </c>
      <c r="F63">
        <v>40</v>
      </c>
      <c r="G63">
        <v>3.6402858299999998</v>
      </c>
      <c r="H63">
        <v>3.4047939680999999</v>
      </c>
      <c r="I63" t="s">
        <v>110</v>
      </c>
    </row>
    <row r="64" spans="1:9" ht="15">
      <c r="A64" s="10">
        <v>44317</v>
      </c>
      <c r="B64" s="70">
        <v>108.175</v>
      </c>
      <c r="C64" s="31">
        <v>41</v>
      </c>
      <c r="D64" s="31">
        <f t="shared" si="0"/>
        <v>4.072463489253626</v>
      </c>
      <c r="E64">
        <v>41</v>
      </c>
      <c r="F64">
        <v>41</v>
      </c>
      <c r="G64">
        <v>4.0724634890000004</v>
      </c>
      <c r="H64">
        <v>3.8322201053999998</v>
      </c>
      <c r="I64" t="s">
        <v>392</v>
      </c>
    </row>
    <row r="65" spans="1:9" ht="15">
      <c r="A65" s="10">
        <v>44348</v>
      </c>
      <c r="B65" s="70">
        <v>108.76</v>
      </c>
      <c r="C65" s="31">
        <v>42</v>
      </c>
      <c r="D65" s="31">
        <f t="shared" si="0"/>
        <v>4.3061283207058683</v>
      </c>
      <c r="E65">
        <v>42</v>
      </c>
      <c r="F65">
        <v>42</v>
      </c>
      <c r="G65">
        <v>4.3061283210000001</v>
      </c>
      <c r="H65">
        <v>4.2596462426999997</v>
      </c>
      <c r="I65" t="s">
        <v>393</v>
      </c>
    </row>
    <row r="66" spans="1:9" ht="15">
      <c r="A66" s="10">
        <v>44378</v>
      </c>
      <c r="B66" s="70">
        <v>109.256</v>
      </c>
      <c r="C66" s="31">
        <v>43</v>
      </c>
      <c r="D66" s="31">
        <f t="shared" si="0"/>
        <v>4.4732161640115482</v>
      </c>
      <c r="E66">
        <v>43</v>
      </c>
      <c r="F66">
        <v>43</v>
      </c>
      <c r="G66">
        <v>4.4732161640000001</v>
      </c>
      <c r="H66">
        <v>4.68707238</v>
      </c>
      <c r="I66" t="s">
        <v>394</v>
      </c>
    </row>
    <row r="67" spans="1:9" ht="15">
      <c r="A67" s="16">
        <v>44409</v>
      </c>
      <c r="B67" s="70">
        <v>109.67400000000001</v>
      </c>
      <c r="C67" s="31">
        <v>44</v>
      </c>
      <c r="D67" s="31">
        <f t="shared" si="0"/>
        <v>4.5809096977209895</v>
      </c>
      <c r="E67">
        <v>44</v>
      </c>
      <c r="F67">
        <v>44</v>
      </c>
      <c r="G67">
        <v>4.5809096980000001</v>
      </c>
      <c r="H67">
        <v>4.4823504152</v>
      </c>
      <c r="I67" t="s">
        <v>242</v>
      </c>
    </row>
    <row r="68" spans="1:9" ht="15">
      <c r="A68" s="10">
        <v>44440</v>
      </c>
      <c r="B68" s="70">
        <v>110.03400000000001</v>
      </c>
      <c r="C68" s="31">
        <v>45</v>
      </c>
      <c r="D68" s="31">
        <f t="shared" si="0"/>
        <v>4.7374282532339622</v>
      </c>
      <c r="E68">
        <v>45</v>
      </c>
      <c r="F68">
        <v>45</v>
      </c>
      <c r="G68">
        <v>4.737428253</v>
      </c>
      <c r="H68">
        <v>4.9138385435999998</v>
      </c>
      <c r="I68" t="s">
        <v>243</v>
      </c>
    </row>
    <row r="69" spans="1:9" ht="15">
      <c r="A69" s="10">
        <v>44470</v>
      </c>
      <c r="B69" s="70">
        <v>110.762</v>
      </c>
      <c r="C69" s="31">
        <v>46</v>
      </c>
      <c r="D69" s="31">
        <f t="shared" si="0"/>
        <v>5.3361356525377825</v>
      </c>
      <c r="E69">
        <v>46</v>
      </c>
      <c r="F69">
        <v>46</v>
      </c>
      <c r="G69">
        <v>5.3361356530000004</v>
      </c>
      <c r="H69">
        <v>5.3453266719999997</v>
      </c>
      <c r="I69" t="s">
        <v>395</v>
      </c>
    </row>
    <row r="70" spans="1:9" ht="15">
      <c r="A70" s="10">
        <v>44501</v>
      </c>
      <c r="B70" s="70">
        <v>111.5</v>
      </c>
      <c r="C70" s="31">
        <v>47</v>
      </c>
      <c r="D70" s="31">
        <f t="shared" si="0"/>
        <v>5.9301905793383929</v>
      </c>
      <c r="E70">
        <v>47</v>
      </c>
      <c r="F70">
        <v>47</v>
      </c>
      <c r="G70">
        <v>5.9301905789999996</v>
      </c>
      <c r="H70">
        <v>5.7768148004000004</v>
      </c>
      <c r="I70" t="s">
        <v>396</v>
      </c>
    </row>
    <row r="71" spans="1:9" ht="15">
      <c r="A71" s="10">
        <v>44531</v>
      </c>
      <c r="B71" s="70">
        <v>112.191</v>
      </c>
      <c r="C71" s="31">
        <v>48</v>
      </c>
      <c r="D71" s="31">
        <f t="shared" si="0"/>
        <v>6.1419691766241922</v>
      </c>
      <c r="E71">
        <v>48</v>
      </c>
      <c r="F71">
        <v>48</v>
      </c>
      <c r="G71">
        <v>6.141969177</v>
      </c>
      <c r="H71">
        <v>6.2083029288000002</v>
      </c>
      <c r="I71" t="s">
        <v>397</v>
      </c>
    </row>
    <row r="72" spans="1:9" ht="15">
      <c r="A72" s="16">
        <v>44562</v>
      </c>
      <c r="B72" s="70">
        <v>112.80500000000001</v>
      </c>
      <c r="C72" s="31">
        <v>49</v>
      </c>
      <c r="D72" s="31">
        <f t="shared" si="0"/>
        <v>6.2724335120163559</v>
      </c>
      <c r="E72">
        <v>49</v>
      </c>
      <c r="F72">
        <v>49</v>
      </c>
      <c r="G72">
        <v>6.2724335120000001</v>
      </c>
      <c r="H72">
        <v>6.3616295271999999</v>
      </c>
      <c r="I72" t="s">
        <v>247</v>
      </c>
    </row>
    <row r="73" spans="1:9" ht="15">
      <c r="A73" s="10">
        <v>44593</v>
      </c>
      <c r="B73" s="70">
        <v>113.471</v>
      </c>
      <c r="C73" s="31">
        <v>50</v>
      </c>
      <c r="D73" s="31">
        <f t="shared" si="0"/>
        <v>6.54553990610329</v>
      </c>
      <c r="E73">
        <v>50</v>
      </c>
      <c r="F73">
        <v>50</v>
      </c>
      <c r="G73">
        <v>6.5455399060000001</v>
      </c>
      <c r="H73">
        <v>6.5147882140000002</v>
      </c>
      <c r="I73" t="s">
        <v>248</v>
      </c>
    </row>
    <row r="74" spans="1:9" ht="15">
      <c r="A74" s="10">
        <v>44621</v>
      </c>
      <c r="B74" s="70">
        <v>114.46899999999999</v>
      </c>
      <c r="C74" s="31">
        <v>51</v>
      </c>
      <c r="D74" s="31">
        <f t="shared" si="0"/>
        <v>6.9264109701645822</v>
      </c>
      <c r="E74">
        <v>51</v>
      </c>
      <c r="F74">
        <v>51</v>
      </c>
      <c r="G74">
        <v>6.9264109700000001</v>
      </c>
      <c r="H74">
        <v>6.6679469008999996</v>
      </c>
      <c r="I74" t="s">
        <v>398</v>
      </c>
    </row>
    <row r="75" spans="1:9" ht="15">
      <c r="A75" s="10">
        <v>44652</v>
      </c>
      <c r="B75" s="70">
        <v>114.812</v>
      </c>
      <c r="C75" s="31">
        <v>52</v>
      </c>
      <c r="D75" s="31">
        <f t="shared" si="0"/>
        <v>6.6847553383263056</v>
      </c>
      <c r="E75">
        <v>52</v>
      </c>
      <c r="F75">
        <v>52</v>
      </c>
      <c r="G75">
        <v>6.6847553380000004</v>
      </c>
      <c r="H75">
        <v>6.8211055878</v>
      </c>
      <c r="I75" t="s">
        <v>399</v>
      </c>
    </row>
    <row r="76" spans="1:9" ht="15">
      <c r="A76" s="10">
        <v>44682</v>
      </c>
      <c r="B76" s="70">
        <v>115.52500000000001</v>
      </c>
      <c r="C76" s="31">
        <v>53</v>
      </c>
      <c r="D76" s="31">
        <f t="shared" si="0"/>
        <v>6.7945458747400131</v>
      </c>
      <c r="E76">
        <v>53</v>
      </c>
      <c r="F76">
        <v>53</v>
      </c>
      <c r="G76">
        <v>6.7945458749999998</v>
      </c>
      <c r="H76">
        <v>6.9742642746000003</v>
      </c>
      <c r="I76" t="s">
        <v>400</v>
      </c>
    </row>
    <row r="77" spans="1:9" ht="15">
      <c r="A77" s="10">
        <v>44713</v>
      </c>
      <c r="B77" s="70">
        <v>116.63800000000001</v>
      </c>
      <c r="C77" s="31">
        <v>54</v>
      </c>
      <c r="D77" s="31">
        <f t="shared" si="0"/>
        <v>7.2434718646561231</v>
      </c>
      <c r="E77">
        <v>54</v>
      </c>
      <c r="F77">
        <v>54</v>
      </c>
      <c r="G77">
        <v>7.2434718650000001</v>
      </c>
      <c r="H77">
        <v>7.1274229614999998</v>
      </c>
      <c r="I77" t="s">
        <v>252</v>
      </c>
    </row>
    <row r="78" spans="1:9" ht="15">
      <c r="A78" s="16">
        <v>44743</v>
      </c>
      <c r="B78" s="70">
        <v>116.631</v>
      </c>
      <c r="C78" s="31">
        <v>55</v>
      </c>
      <c r="D78" s="31">
        <f t="shared" si="0"/>
        <v>6.7502013619389327</v>
      </c>
      <c r="E78">
        <v>55</v>
      </c>
      <c r="F78">
        <v>55</v>
      </c>
      <c r="G78">
        <v>6.7502013620000003</v>
      </c>
      <c r="H78">
        <v>6.9469908236000002</v>
      </c>
      <c r="I78" t="s">
        <v>253</v>
      </c>
    </row>
    <row r="79" spans="1:9" ht="15">
      <c r="A79" s="10">
        <v>44774</v>
      </c>
      <c r="B79" s="70">
        <v>116.956</v>
      </c>
      <c r="C79" s="31">
        <v>56</v>
      </c>
      <c r="D79" s="31">
        <f t="shared" si="0"/>
        <v>6.6396775899483886</v>
      </c>
      <c r="E79">
        <v>56</v>
      </c>
      <c r="F79">
        <v>56</v>
      </c>
      <c r="G79">
        <v>6.6396775899999998</v>
      </c>
      <c r="H79">
        <v>6.7041185396999996</v>
      </c>
      <c r="I79" t="s">
        <v>401</v>
      </c>
    </row>
    <row r="80" spans="1:9" ht="15">
      <c r="A80" s="10">
        <v>44805</v>
      </c>
      <c r="B80" s="70">
        <v>117.371</v>
      </c>
      <c r="C80" s="31">
        <v>57</v>
      </c>
      <c r="D80" s="31">
        <f t="shared" si="0"/>
        <v>6.6679390006725088</v>
      </c>
      <c r="E80">
        <v>57</v>
      </c>
      <c r="F80">
        <v>57</v>
      </c>
      <c r="G80">
        <v>6.6679390009999997</v>
      </c>
      <c r="H80">
        <v>6.4612462557999999</v>
      </c>
      <c r="I80" t="s">
        <v>402</v>
      </c>
    </row>
    <row r="81" spans="1:9" ht="15">
      <c r="A81" s="10">
        <v>44835</v>
      </c>
      <c r="B81" s="70">
        <v>117.919</v>
      </c>
      <c r="C81" s="31">
        <v>58</v>
      </c>
      <c r="D81" s="31">
        <f t="shared" si="0"/>
        <v>6.4616023545981438</v>
      </c>
      <c r="E81">
        <v>58</v>
      </c>
      <c r="F81">
        <v>58</v>
      </c>
      <c r="G81">
        <v>6.4616023550000001</v>
      </c>
      <c r="H81">
        <v>6.2183739719000002</v>
      </c>
      <c r="I81" t="s">
        <v>403</v>
      </c>
    </row>
    <row r="82" spans="1:9" ht="15">
      <c r="A82" s="10">
        <v>44866</v>
      </c>
      <c r="B82" s="70">
        <v>118.224</v>
      </c>
      <c r="C82" s="31">
        <v>59</v>
      </c>
      <c r="D82" s="31">
        <f t="shared" si="0"/>
        <v>6.0304932735426036</v>
      </c>
      <c r="E82">
        <v>59</v>
      </c>
      <c r="F82">
        <v>59</v>
      </c>
      <c r="G82">
        <v>6.0304932740000003</v>
      </c>
      <c r="H82">
        <v>5.9755016880999996</v>
      </c>
      <c r="I82" t="s">
        <v>257</v>
      </c>
    </row>
    <row r="83" spans="1:9" ht="15">
      <c r="A83" s="10">
        <v>44896</v>
      </c>
      <c r="B83" s="70">
        <v>118.384</v>
      </c>
      <c r="C83" s="31">
        <v>60</v>
      </c>
      <c r="D83" s="31">
        <f t="shared" si="0"/>
        <v>5.520050627946981</v>
      </c>
      <c r="E83">
        <v>60</v>
      </c>
      <c r="F83">
        <v>60</v>
      </c>
      <c r="G83">
        <v>5.5200506279999999</v>
      </c>
      <c r="H83">
        <v>5.7326294041999999</v>
      </c>
      <c r="I83" t="s">
        <v>258</v>
      </c>
    </row>
    <row r="84" spans="1:9" ht="15">
      <c r="A84" s="10">
        <v>44927</v>
      </c>
      <c r="B84" s="70">
        <v>119.018</v>
      </c>
      <c r="C84" s="31">
        <v>61</v>
      </c>
      <c r="D84" s="31">
        <f t="shared" si="0"/>
        <v>5.5077345862328739</v>
      </c>
      <c r="E84">
        <v>61</v>
      </c>
      <c r="F84">
        <v>61</v>
      </c>
      <c r="G84">
        <v>5.5077345859999998</v>
      </c>
      <c r="H84">
        <v>5.4897571203000002</v>
      </c>
      <c r="I84" t="s">
        <v>404</v>
      </c>
    </row>
    <row r="85" spans="1:9" ht="15">
      <c r="A85" s="10">
        <v>44958</v>
      </c>
      <c r="B85" s="70">
        <v>119.369</v>
      </c>
      <c r="C85" s="31">
        <v>62</v>
      </c>
      <c r="D85" s="31">
        <f t="shared" si="0"/>
        <v>5.1978038441540093</v>
      </c>
      <c r="E85">
        <v>62</v>
      </c>
      <c r="F85">
        <v>62</v>
      </c>
      <c r="G85">
        <v>5.1978038440000001</v>
      </c>
      <c r="H85">
        <v>5.2468848363999996</v>
      </c>
      <c r="I85" t="s">
        <v>405</v>
      </c>
    </row>
    <row r="86" spans="1:9" ht="15">
      <c r="A86" s="16">
        <v>44986</v>
      </c>
      <c r="B86" s="70">
        <v>119.538</v>
      </c>
      <c r="C86" s="31">
        <v>63</v>
      </c>
      <c r="D86" s="31">
        <f t="shared" si="0"/>
        <v>4.4282731569245843</v>
      </c>
      <c r="E86">
        <v>63</v>
      </c>
      <c r="F86">
        <v>63</v>
      </c>
      <c r="G86">
        <v>4.4282731569999996</v>
      </c>
      <c r="H86">
        <v>4.5662531303999998</v>
      </c>
      <c r="I86" t="s">
        <v>406</v>
      </c>
    </row>
    <row r="87" spans="1:9" ht="15">
      <c r="A87" s="10">
        <v>45017</v>
      </c>
      <c r="B87" s="70">
        <v>119.95099999999999</v>
      </c>
      <c r="C87" s="31">
        <v>64</v>
      </c>
      <c r="D87" s="31">
        <f t="shared" si="0"/>
        <v>4.4760129603177337</v>
      </c>
      <c r="E87">
        <v>64</v>
      </c>
      <c r="F87">
        <v>64</v>
      </c>
      <c r="G87">
        <v>4.4760129600000003</v>
      </c>
      <c r="H87">
        <v>4.2432577756000001</v>
      </c>
      <c r="I87" t="s">
        <v>262</v>
      </c>
    </row>
    <row r="88" spans="1:9" ht="15">
      <c r="A88" s="10">
        <v>45047</v>
      </c>
      <c r="B88" s="70">
        <v>120.15</v>
      </c>
      <c r="C88" s="31">
        <v>65</v>
      </c>
      <c r="D88" s="31">
        <f t="shared" si="0"/>
        <v>4.003462454014282</v>
      </c>
      <c r="E88">
        <v>65</v>
      </c>
      <c r="F88">
        <v>65</v>
      </c>
      <c r="G88">
        <v>4.0034624540000001</v>
      </c>
      <c r="H88">
        <v>3.9202624207999999</v>
      </c>
      <c r="I88" t="s">
        <v>263</v>
      </c>
    </row>
    <row r="89" spans="1:9" ht="15">
      <c r="A89" s="10">
        <v>45078</v>
      </c>
      <c r="B89" s="70">
        <v>120.46899999999999</v>
      </c>
      <c r="C89" s="31">
        <v>66</v>
      </c>
      <c r="D89" s="31">
        <f t="shared" si="0"/>
        <v>3.2845213395291317</v>
      </c>
      <c r="E89">
        <v>66</v>
      </c>
      <c r="F89">
        <v>66</v>
      </c>
      <c r="G89">
        <v>3.28452134</v>
      </c>
      <c r="H89">
        <v>3.5972670660000001</v>
      </c>
      <c r="I89" t="s">
        <v>407</v>
      </c>
    </row>
    <row r="90" spans="1:9" ht="15">
      <c r="A90" s="10">
        <v>45108</v>
      </c>
      <c r="B90" s="70">
        <v>120.607</v>
      </c>
      <c r="C90" s="31">
        <v>67</v>
      </c>
      <c r="D90" s="31">
        <f t="shared" ref="D90:D119" si="1">100*(B90-B78)/B78</f>
        <v>3.4090421928989714</v>
      </c>
      <c r="E90">
        <v>67</v>
      </c>
      <c r="F90">
        <v>67</v>
      </c>
      <c r="G90">
        <v>3.4090421929999999</v>
      </c>
      <c r="H90">
        <v>3.2742717111999999</v>
      </c>
      <c r="I90" t="s">
        <v>408</v>
      </c>
    </row>
    <row r="91" spans="1:9" ht="15">
      <c r="A91" s="16">
        <v>45139</v>
      </c>
      <c r="B91" s="70">
        <v>120.97</v>
      </c>
      <c r="C91" s="31">
        <v>68</v>
      </c>
      <c r="D91" s="31">
        <f t="shared" si="1"/>
        <v>3.4320599199698996</v>
      </c>
      <c r="E91">
        <v>68</v>
      </c>
      <c r="F91">
        <v>68</v>
      </c>
      <c r="G91">
        <v>3.4320599199999999</v>
      </c>
      <c r="H91">
        <v>3.4899922596000001</v>
      </c>
      <c r="I91" t="s">
        <v>409</v>
      </c>
    </row>
    <row r="92" spans="1:9" ht="15">
      <c r="A92" s="10">
        <v>45170</v>
      </c>
      <c r="B92" s="70">
        <v>121.419</v>
      </c>
      <c r="C92" s="31">
        <v>69</v>
      </c>
      <c r="D92" s="31">
        <f t="shared" si="1"/>
        <v>3.448892827018601</v>
      </c>
      <c r="E92">
        <v>69</v>
      </c>
      <c r="F92">
        <v>69</v>
      </c>
      <c r="G92">
        <v>3.4488928269999999</v>
      </c>
      <c r="H92">
        <v>3.2886531622000001</v>
      </c>
      <c r="I92" t="s">
        <v>273</v>
      </c>
    </row>
    <row r="93" spans="1:9" ht="15">
      <c r="A93" s="10">
        <v>45200</v>
      </c>
      <c r="B93" s="70">
        <v>121.48399999999999</v>
      </c>
      <c r="C93" s="31">
        <v>70</v>
      </c>
      <c r="D93" s="31">
        <f t="shared" si="1"/>
        <v>3.0232617305099243</v>
      </c>
      <c r="E93">
        <v>70</v>
      </c>
      <c r="F93">
        <v>70</v>
      </c>
      <c r="G93">
        <v>3.0232617309999998</v>
      </c>
      <c r="H93">
        <v>3.0873140648000001</v>
      </c>
      <c r="I93" t="s">
        <v>274</v>
      </c>
    </row>
    <row r="94" spans="1:9" ht="15">
      <c r="A94" s="10">
        <v>45231</v>
      </c>
      <c r="B94" s="70">
        <v>121.49299999999999</v>
      </c>
      <c r="C94" s="31">
        <v>71</v>
      </c>
      <c r="D94" s="31">
        <f t="shared" si="1"/>
        <v>2.7650899986466295</v>
      </c>
      <c r="E94">
        <v>71</v>
      </c>
      <c r="F94">
        <v>71</v>
      </c>
      <c r="G94">
        <v>2.7650899990000002</v>
      </c>
      <c r="H94">
        <v>2.8859749674000001</v>
      </c>
      <c r="I94" t="s">
        <v>410</v>
      </c>
    </row>
    <row r="95" spans="1:9" ht="15">
      <c r="A95" s="10">
        <v>45261</v>
      </c>
      <c r="B95" s="70">
        <v>121.66</v>
      </c>
      <c r="C95" s="31">
        <v>72</v>
      </c>
      <c r="D95" s="31">
        <f t="shared" si="1"/>
        <v>2.7672658467360423</v>
      </c>
      <c r="E95">
        <v>72</v>
      </c>
      <c r="F95">
        <v>72</v>
      </c>
      <c r="G95">
        <v>2.767265847</v>
      </c>
      <c r="H95">
        <v>2.6846358700000001</v>
      </c>
      <c r="I95" t="s">
        <v>411</v>
      </c>
    </row>
    <row r="96" spans="1:9" ht="15">
      <c r="A96" s="16">
        <v>45292</v>
      </c>
      <c r="B96" s="70">
        <v>122.23</v>
      </c>
      <c r="C96" s="14">
        <v>73</v>
      </c>
      <c r="D96" s="14">
        <f t="shared" si="1"/>
        <v>2.6987514493606035</v>
      </c>
      <c r="E96">
        <v>73</v>
      </c>
      <c r="F96">
        <v>73</v>
      </c>
      <c r="G96">
        <v>2.698751449</v>
      </c>
      <c r="H96">
        <v>2.8644340452999999</v>
      </c>
      <c r="I96" t="s">
        <v>412</v>
      </c>
    </row>
    <row r="97" spans="1:9" ht="15">
      <c r="A97" s="10">
        <v>45323</v>
      </c>
      <c r="B97" s="70">
        <v>122.598</v>
      </c>
      <c r="C97" s="31">
        <v>74</v>
      </c>
      <c r="D97" s="31">
        <f t="shared" si="1"/>
        <v>2.7050574269701508</v>
      </c>
      <c r="E97">
        <v>74</v>
      </c>
      <c r="F97">
        <v>74</v>
      </c>
      <c r="G97">
        <v>2.7050574269999998</v>
      </c>
      <c r="H97">
        <v>2.8048834963</v>
      </c>
      <c r="I97" t="s">
        <v>339</v>
      </c>
    </row>
    <row r="98" spans="1:9" ht="15">
      <c r="A98" s="10">
        <v>45352</v>
      </c>
      <c r="B98" s="70">
        <v>123.038</v>
      </c>
      <c r="C98" s="31">
        <v>75</v>
      </c>
      <c r="D98" s="31">
        <f t="shared" si="1"/>
        <v>2.9279392327126104</v>
      </c>
      <c r="E98">
        <v>75</v>
      </c>
      <c r="F98">
        <v>75</v>
      </c>
      <c r="G98">
        <v>2.927939233</v>
      </c>
      <c r="H98">
        <v>2.7453329472000001</v>
      </c>
      <c r="I98" t="s">
        <v>340</v>
      </c>
    </row>
    <row r="99" spans="1:9" ht="15">
      <c r="A99" s="10">
        <v>45383</v>
      </c>
      <c r="B99" s="70">
        <v>123.34099999999999</v>
      </c>
      <c r="C99" s="31">
        <v>76</v>
      </c>
      <c r="D99" s="31">
        <f t="shared" si="1"/>
        <v>2.8261540128885967</v>
      </c>
      <c r="E99">
        <v>76</v>
      </c>
      <c r="F99">
        <v>76</v>
      </c>
      <c r="G99">
        <v>2.826154013</v>
      </c>
      <c r="H99">
        <v>2.6857823982000002</v>
      </c>
      <c r="I99" t="s">
        <v>413</v>
      </c>
    </row>
    <row r="100" spans="1:9" ht="15">
      <c r="A100" s="10">
        <v>45413</v>
      </c>
      <c r="B100" s="70">
        <v>123.348</v>
      </c>
      <c r="C100" s="31">
        <v>77</v>
      </c>
      <c r="D100" s="31">
        <f t="shared" si="1"/>
        <v>2.6616729088639146</v>
      </c>
      <c r="E100">
        <v>77</v>
      </c>
      <c r="F100">
        <v>77</v>
      </c>
      <c r="G100">
        <v>2.661672909</v>
      </c>
      <c r="H100">
        <v>2.6262318490999998</v>
      </c>
      <c r="I100" t="s">
        <v>414</v>
      </c>
    </row>
    <row r="101" spans="1:9" ht="15">
      <c r="A101" s="10">
        <v>45444</v>
      </c>
      <c r="B101" s="70">
        <v>123.539</v>
      </c>
      <c r="C101" s="31">
        <v>78</v>
      </c>
      <c r="D101" s="31">
        <f t="shared" si="1"/>
        <v>2.5483734404701686</v>
      </c>
      <c r="E101">
        <v>78</v>
      </c>
      <c r="F101">
        <v>78</v>
      </c>
      <c r="G101">
        <v>2.5483734400000002</v>
      </c>
      <c r="H101">
        <v>2.5666813001</v>
      </c>
      <c r="I101" t="s">
        <v>415</v>
      </c>
    </row>
    <row r="102" spans="1:9" ht="15">
      <c r="A102" s="10">
        <v>45474</v>
      </c>
      <c r="B102" s="70">
        <v>123.736</v>
      </c>
      <c r="C102" s="31">
        <v>79</v>
      </c>
      <c r="D102" s="31">
        <f t="shared" si="1"/>
        <v>2.5943767774673154</v>
      </c>
      <c r="E102">
        <v>79</v>
      </c>
      <c r="F102">
        <v>79</v>
      </c>
      <c r="G102">
        <v>2.5943767769999999</v>
      </c>
      <c r="H102">
        <v>2.507130751</v>
      </c>
      <c r="I102" t="s">
        <v>425</v>
      </c>
    </row>
    <row r="103" spans="1:9" ht="15">
      <c r="A103" s="10">
        <v>45505</v>
      </c>
      <c r="B103" s="70">
        <v>123.889</v>
      </c>
      <c r="C103" s="31">
        <v>80</v>
      </c>
      <c r="D103" s="31">
        <f t="shared" si="1"/>
        <v>2.412994957427459</v>
      </c>
      <c r="E103">
        <v>80</v>
      </c>
      <c r="F103">
        <v>80</v>
      </c>
      <c r="G103">
        <v>2.412994957</v>
      </c>
      <c r="H103">
        <v>2.4475802020000001</v>
      </c>
      <c r="I103" t="s">
        <v>426</v>
      </c>
    </row>
    <row r="104" spans="1:9" ht="15">
      <c r="A104" s="10">
        <v>45536</v>
      </c>
      <c r="B104" s="70">
        <v>124.164</v>
      </c>
      <c r="C104" s="31">
        <v>81</v>
      </c>
      <c r="D104" s="31">
        <f t="shared" si="1"/>
        <v>2.2607664368838525</v>
      </c>
      <c r="E104">
        <v>81</v>
      </c>
      <c r="F104">
        <v>81</v>
      </c>
      <c r="G104">
        <v>2.260766437</v>
      </c>
      <c r="H104">
        <v>2.3880296528999998</v>
      </c>
      <c r="I104" t="s">
        <v>460</v>
      </c>
    </row>
    <row r="105" spans="1:9" ht="15">
      <c r="A105" s="16">
        <v>45566</v>
      </c>
      <c r="B105" s="70">
        <v>124.494</v>
      </c>
      <c r="C105" s="14">
        <v>82</v>
      </c>
      <c r="D105" s="14">
        <f t="shared" si="1"/>
        <v>2.4776925356425581</v>
      </c>
      <c r="E105">
        <v>82</v>
      </c>
      <c r="F105">
        <v>82</v>
      </c>
      <c r="G105">
        <v>2.4776925360000002</v>
      </c>
      <c r="H105">
        <v>2.5252588901999999</v>
      </c>
      <c r="I105" t="s">
        <v>461</v>
      </c>
    </row>
    <row r="106" spans="1:9" ht="15">
      <c r="A106" s="10">
        <v>45597</v>
      </c>
      <c r="B106" s="70">
        <v>124.637</v>
      </c>
      <c r="C106" s="31">
        <v>83</v>
      </c>
      <c r="D106" s="31">
        <f t="shared" si="1"/>
        <v>2.5878034125422911</v>
      </c>
      <c r="E106">
        <v>83</v>
      </c>
      <c r="F106">
        <v>83</v>
      </c>
      <c r="G106">
        <v>2.5878034130000001</v>
      </c>
      <c r="H106">
        <v>2.5737749292999998</v>
      </c>
      <c r="I106" t="s">
        <v>462</v>
      </c>
    </row>
    <row r="107" spans="1:9" ht="15">
      <c r="A107" s="10">
        <v>45627</v>
      </c>
      <c r="B107" s="70">
        <v>124.979</v>
      </c>
      <c r="C107" s="31">
        <v>84</v>
      </c>
      <c r="D107" s="31">
        <f t="shared" si="1"/>
        <v>2.7280946901200087</v>
      </c>
      <c r="E107">
        <v>84</v>
      </c>
      <c r="F107">
        <v>84</v>
      </c>
      <c r="G107">
        <v>2.7280946899999998</v>
      </c>
      <c r="H107">
        <v>2.6222909684000002</v>
      </c>
      <c r="I107" t="s">
        <v>463</v>
      </c>
    </row>
    <row r="108" spans="1:9" ht="15">
      <c r="A108" s="10">
        <v>45658</v>
      </c>
      <c r="B108" s="70">
        <v>125.417</v>
      </c>
      <c r="C108" s="31">
        <v>85</v>
      </c>
      <c r="D108" s="31">
        <f t="shared" si="1"/>
        <v>2.6073795303935183</v>
      </c>
      <c r="E108">
        <v>85</v>
      </c>
      <c r="F108">
        <v>85</v>
      </c>
      <c r="G108">
        <v>2.6073795299999998</v>
      </c>
      <c r="H108">
        <v>2.6708070075000001</v>
      </c>
      <c r="I108" t="s">
        <v>464</v>
      </c>
    </row>
    <row r="109" spans="1:9" ht="15">
      <c r="A109" s="10">
        <v>45689</v>
      </c>
      <c r="B109" s="70">
        <v>125.92100000000001</v>
      </c>
      <c r="C109" s="31">
        <v>86</v>
      </c>
      <c r="D109" s="31">
        <f t="shared" si="1"/>
        <v>2.7104846734857073</v>
      </c>
      <c r="E109">
        <v>86</v>
      </c>
      <c r="F109">
        <v>86</v>
      </c>
      <c r="G109">
        <v>2.7104846729999998</v>
      </c>
      <c r="H109">
        <v>2.7193230466</v>
      </c>
      <c r="I109" t="s">
        <v>465</v>
      </c>
    </row>
    <row r="110" spans="1:9" ht="15">
      <c r="A110" s="50">
        <v>45717</v>
      </c>
      <c r="B110" s="70">
        <v>125.941</v>
      </c>
      <c r="C110" s="52">
        <v>87</v>
      </c>
      <c r="D110" s="52">
        <f t="shared" si="1"/>
        <v>2.3594336708984263</v>
      </c>
      <c r="E110">
        <v>87</v>
      </c>
      <c r="F110">
        <v>87</v>
      </c>
      <c r="G110">
        <v>2.3594336710000001</v>
      </c>
      <c r="H110">
        <v>2.2928801995999999</v>
      </c>
      <c r="I110" t="s">
        <v>466</v>
      </c>
    </row>
    <row r="111" spans="1:9" ht="15">
      <c r="A111" s="10">
        <v>45748</v>
      </c>
      <c r="B111" s="70">
        <v>126.15</v>
      </c>
      <c r="C111" s="31">
        <v>88</v>
      </c>
      <c r="D111" s="31">
        <f t="shared" si="1"/>
        <v>2.2774259978433871</v>
      </c>
      <c r="E111">
        <v>88</v>
      </c>
      <c r="F111">
        <v>88</v>
      </c>
      <c r="G111">
        <v>2.277425998</v>
      </c>
      <c r="H111">
        <v>2.3775900985999998</v>
      </c>
      <c r="I111" t="s">
        <v>467</v>
      </c>
    </row>
    <row r="112" spans="1:9" ht="15">
      <c r="A112" s="10">
        <v>45778</v>
      </c>
      <c r="B112" s="70">
        <v>126.38</v>
      </c>
      <c r="C112" s="31">
        <v>89</v>
      </c>
      <c r="D112" s="31">
        <f t="shared" si="1"/>
        <v>2.4580860654408636</v>
      </c>
      <c r="E112">
        <v>89</v>
      </c>
      <c r="F112">
        <v>89</v>
      </c>
      <c r="G112">
        <v>2.4580860649999998</v>
      </c>
      <c r="H112">
        <v>2.4622999977000002</v>
      </c>
    </row>
    <row r="113" spans="1:12" ht="15">
      <c r="A113" s="10">
        <v>45809</v>
      </c>
      <c r="B113" s="70">
        <v>126.74299999999999</v>
      </c>
      <c r="C113" s="31">
        <v>90</v>
      </c>
      <c r="D113" s="31">
        <f t="shared" si="1"/>
        <v>2.5935129797068082</v>
      </c>
      <c r="E113">
        <v>90</v>
      </c>
      <c r="F113">
        <v>90</v>
      </c>
      <c r="G113">
        <v>2.5935129799999999</v>
      </c>
      <c r="H113">
        <v>2.5470098967000001</v>
      </c>
      <c r="I113" t="s">
        <v>182</v>
      </c>
    </row>
    <row r="114" spans="1:12" ht="15">
      <c r="A114" s="10">
        <v>45839</v>
      </c>
      <c r="B114" s="70">
        <v>126.96</v>
      </c>
      <c r="C114" s="31">
        <v>91</v>
      </c>
      <c r="D114" s="31">
        <f t="shared" si="1"/>
        <v>2.6055472942393396</v>
      </c>
      <c r="E114">
        <v>91</v>
      </c>
      <c r="F114">
        <v>91</v>
      </c>
      <c r="G114">
        <v>2.605547294</v>
      </c>
      <c r="H114">
        <v>2.6317197958</v>
      </c>
      <c r="I114" t="s">
        <v>184</v>
      </c>
      <c r="J114" t="s">
        <v>185</v>
      </c>
      <c r="K114" t="s">
        <v>186</v>
      </c>
      <c r="L114" t="s">
        <v>187</v>
      </c>
    </row>
    <row r="115" spans="1:12" ht="15">
      <c r="A115" s="10">
        <v>45870</v>
      </c>
      <c r="B115" s="70">
        <v>127.29300000000001</v>
      </c>
      <c r="C115" s="31">
        <v>92</v>
      </c>
      <c r="D115" s="31">
        <f t="shared" si="1"/>
        <v>2.7476208541517089</v>
      </c>
      <c r="E115">
        <v>92</v>
      </c>
      <c r="F115">
        <v>92</v>
      </c>
      <c r="G115">
        <v>2.747620854</v>
      </c>
      <c r="H115">
        <v>2.7164296948</v>
      </c>
      <c r="I115" t="s">
        <v>188</v>
      </c>
      <c r="J115">
        <v>31</v>
      </c>
      <c r="K115">
        <v>27.538894621400001</v>
      </c>
      <c r="L115">
        <v>0.88835143940000005</v>
      </c>
    </row>
    <row r="116" spans="1:12" ht="15">
      <c r="A116" s="10">
        <v>45901</v>
      </c>
      <c r="B116" s="70">
        <v>127.625</v>
      </c>
      <c r="C116" s="31">
        <v>93</v>
      </c>
      <c r="D116" s="31">
        <f t="shared" si="1"/>
        <v>2.7874424148706538</v>
      </c>
      <c r="E116">
        <v>93</v>
      </c>
      <c r="F116">
        <v>93</v>
      </c>
      <c r="G116">
        <v>2.7874424150000001</v>
      </c>
      <c r="H116">
        <v>2.8011395937999999</v>
      </c>
      <c r="I116" t="s">
        <v>189</v>
      </c>
      <c r="J116">
        <v>66</v>
      </c>
      <c r="K116">
        <v>2.0319667439</v>
      </c>
      <c r="L116">
        <v>3.0787374900000001E-2</v>
      </c>
    </row>
    <row r="117" spans="1:12" ht="15">
      <c r="A117" s="16">
        <v>45931</v>
      </c>
      <c r="B117" s="39">
        <v>127.871</v>
      </c>
      <c r="C117" s="14">
        <v>94</v>
      </c>
      <c r="D117" s="14">
        <f t="shared" si="1"/>
        <v>2.7125805259691194</v>
      </c>
      <c r="E117" s="14">
        <v>94</v>
      </c>
      <c r="F117" s="14">
        <v>94</v>
      </c>
      <c r="G117" s="14">
        <v>2.712580526</v>
      </c>
      <c r="H117" s="14">
        <v>2.7708896202000002</v>
      </c>
      <c r="I117" t="s">
        <v>190</v>
      </c>
      <c r="J117">
        <v>97</v>
      </c>
      <c r="K117">
        <v>297.62409590150003</v>
      </c>
    </row>
    <row r="118" spans="1:12" ht="15">
      <c r="A118" s="10">
        <v>45962</v>
      </c>
      <c r="B118" s="70">
        <v>128.15199999999999</v>
      </c>
      <c r="C118" s="31">
        <v>95</v>
      </c>
      <c r="D118" s="31">
        <f t="shared" si="1"/>
        <v>2.8201898312699973</v>
      </c>
      <c r="E118">
        <v>95</v>
      </c>
      <c r="F118">
        <v>95</v>
      </c>
      <c r="G118">
        <v>2.820189831</v>
      </c>
      <c r="H118">
        <v>2.7896021214000002</v>
      </c>
      <c r="I118" t="s">
        <v>468</v>
      </c>
    </row>
    <row r="119" spans="1:12" ht="15">
      <c r="A119" s="10">
        <v>45992</v>
      </c>
      <c r="B119" s="70">
        <v>128.57599999999999</v>
      </c>
      <c r="C119" s="31">
        <v>96</v>
      </c>
      <c r="D119" s="31">
        <f t="shared" si="1"/>
        <v>2.8780835180310245</v>
      </c>
      <c r="E119">
        <v>96</v>
      </c>
      <c r="F119">
        <v>96</v>
      </c>
      <c r="G119">
        <v>2.878083518</v>
      </c>
      <c r="H119">
        <v>2.8083146226000002</v>
      </c>
    </row>
    <row r="120" spans="1:12" ht="15">
      <c r="A120" s="10">
        <v>46023</v>
      </c>
      <c r="B120" s="70">
        <v>128.965</v>
      </c>
      <c r="C120" s="31">
        <v>97</v>
      </c>
      <c r="D120" s="31">
        <f t="shared" ref="D120:D121" si="2">100*(B120-B108)/B108</f>
        <v>2.8289625808303516</v>
      </c>
      <c r="E120">
        <v>97</v>
      </c>
      <c r="F120">
        <v>97</v>
      </c>
      <c r="G120">
        <v>2.8289625809999999</v>
      </c>
      <c r="H120">
        <v>2.8270271238000002</v>
      </c>
      <c r="K120" s="31">
        <f>1-(K116/K117)</f>
        <v>0.99317270754659437</v>
      </c>
    </row>
    <row r="121" spans="1:12" ht="15">
      <c r="A121" s="10">
        <v>46054</v>
      </c>
      <c r="B121" s="70">
        <v>129.44900000000001</v>
      </c>
      <c r="C121" s="31">
        <v>98</v>
      </c>
      <c r="D121" s="31">
        <f t="shared" si="2"/>
        <v>2.8017566569515853</v>
      </c>
      <c r="E121">
        <v>98</v>
      </c>
      <c r="F121">
        <v>98</v>
      </c>
      <c r="G121">
        <v>2.8017566569999999</v>
      </c>
      <c r="H121">
        <v>2.8457396250000002</v>
      </c>
    </row>
    <row r="123" spans="1:12">
      <c r="I123" s="10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9697-E38B-4B62-88FC-0CEFFAEFCB02}">
  <dimension ref="A1:L119"/>
  <sheetViews>
    <sheetView topLeftCell="A97" zoomScale="70" zoomScaleNormal="70" workbookViewId="0">
      <selection activeCell="K115" sqref="K115"/>
    </sheetView>
  </sheetViews>
  <sheetFormatPr defaultRowHeight="13.2"/>
  <cols>
    <col min="1" max="1" width="13" customWidth="1"/>
    <col min="3" max="3" width="3.77734375" customWidth="1"/>
    <col min="5" max="6" width="3.5546875" bestFit="1" customWidth="1"/>
  </cols>
  <sheetData>
    <row r="1" spans="1:3" ht="15">
      <c r="A1" s="37" t="s">
        <v>0</v>
      </c>
      <c r="B1" s="37"/>
      <c r="C1" s="37"/>
    </row>
    <row r="2" spans="1:3" ht="15">
      <c r="A2" s="37" t="s">
        <v>302</v>
      </c>
      <c r="B2" s="37"/>
      <c r="C2" s="37"/>
    </row>
    <row r="3" spans="1:3" ht="15">
      <c r="A3" s="37" t="s">
        <v>2</v>
      </c>
      <c r="B3" s="37"/>
      <c r="C3" s="37"/>
    </row>
    <row r="4" spans="1:3" ht="15">
      <c r="A4" s="37" t="s">
        <v>3</v>
      </c>
      <c r="B4" s="37"/>
      <c r="C4" s="37"/>
    </row>
    <row r="5" spans="1:3" ht="15">
      <c r="A5" s="37" t="s">
        <v>303</v>
      </c>
      <c r="B5" s="37"/>
      <c r="C5" s="37"/>
    </row>
    <row r="6" spans="1:3" ht="15">
      <c r="A6" s="37" t="s">
        <v>449</v>
      </c>
      <c r="B6" s="37"/>
      <c r="C6" s="37"/>
    </row>
    <row r="7" spans="1:3">
      <c r="A7" s="38"/>
      <c r="B7" s="38"/>
      <c r="C7" s="38"/>
    </row>
    <row r="8" spans="1:3" ht="15">
      <c r="A8" s="37" t="s">
        <v>6</v>
      </c>
      <c r="B8" s="37" t="s">
        <v>7</v>
      </c>
      <c r="C8" s="37" t="s">
        <v>450</v>
      </c>
    </row>
    <row r="11" spans="1:3" ht="15">
      <c r="A11" s="46" t="s">
        <v>9</v>
      </c>
      <c r="B11" s="69" t="s">
        <v>6</v>
      </c>
    </row>
    <row r="12" spans="1:3" ht="15">
      <c r="A12" s="32">
        <v>42736</v>
      </c>
      <c r="B12" s="68">
        <v>99.450999999999993</v>
      </c>
    </row>
    <row r="13" spans="1:3" ht="15">
      <c r="A13" s="32">
        <v>42767</v>
      </c>
      <c r="B13" s="68">
        <v>99.585999999999999</v>
      </c>
    </row>
    <row r="14" spans="1:3" ht="15">
      <c r="A14" s="32">
        <v>42795</v>
      </c>
      <c r="B14" s="68">
        <v>99.534999999999997</v>
      </c>
    </row>
    <row r="15" spans="1:3" ht="15">
      <c r="A15" s="32">
        <v>42826</v>
      </c>
      <c r="B15" s="68">
        <v>99.724999999999994</v>
      </c>
    </row>
    <row r="16" spans="1:3" ht="15">
      <c r="A16" s="32">
        <v>42856</v>
      </c>
      <c r="B16" s="68">
        <v>99.682000000000002</v>
      </c>
    </row>
    <row r="17" spans="1:9" ht="15">
      <c r="A17" s="32">
        <v>42887</v>
      </c>
      <c r="B17" s="68">
        <v>99.766000000000005</v>
      </c>
    </row>
    <row r="18" spans="1:9" ht="15">
      <c r="A18" s="32">
        <v>42917</v>
      </c>
      <c r="B18" s="68">
        <v>99.802999999999997</v>
      </c>
    </row>
    <row r="19" spans="1:9" ht="15">
      <c r="A19" s="32">
        <v>42948</v>
      </c>
      <c r="B19" s="68">
        <v>100.027</v>
      </c>
    </row>
    <row r="20" spans="1:9" ht="15">
      <c r="A20" s="32">
        <v>42979</v>
      </c>
      <c r="B20" s="68">
        <v>100.4</v>
      </c>
    </row>
    <row r="21" spans="1:9" ht="15">
      <c r="A21" s="32">
        <v>43009</v>
      </c>
      <c r="B21" s="68">
        <v>100.53100000000001</v>
      </c>
    </row>
    <row r="22" spans="1:9" ht="15">
      <c r="A22" s="32">
        <v>43040</v>
      </c>
      <c r="B22" s="68">
        <v>100.675</v>
      </c>
    </row>
    <row r="23" spans="1:9" ht="15">
      <c r="A23" s="32">
        <v>43070</v>
      </c>
      <c r="B23" s="68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5">
      <c r="A24" s="10">
        <v>43101</v>
      </c>
      <c r="B24" s="68">
        <v>101.199</v>
      </c>
      <c r="C24" s="31">
        <v>1</v>
      </c>
      <c r="D24" s="31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 ht="15">
      <c r="A25" s="10">
        <v>43132</v>
      </c>
      <c r="B25" s="68">
        <v>101.416</v>
      </c>
      <c r="C25" s="31">
        <v>2</v>
      </c>
      <c r="D25" s="31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451</v>
      </c>
    </row>
    <row r="26" spans="1:9" ht="15">
      <c r="A26" s="10">
        <v>43160</v>
      </c>
      <c r="B26" s="68">
        <v>101.524</v>
      </c>
      <c r="C26" s="31">
        <v>3</v>
      </c>
      <c r="D26" s="31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 ht="15">
      <c r="A27" s="10">
        <v>43191</v>
      </c>
      <c r="B27" s="68">
        <v>101.76600000000001</v>
      </c>
      <c r="C27" s="31">
        <v>4</v>
      </c>
      <c r="D27" s="31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 ht="15">
      <c r="A28" s="10">
        <v>43221</v>
      </c>
      <c r="B28" s="68">
        <v>101.941</v>
      </c>
      <c r="C28" s="31">
        <v>5</v>
      </c>
      <c r="D28" s="31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 ht="15">
      <c r="A29" s="16">
        <v>43252</v>
      </c>
      <c r="B29" s="68">
        <v>102.029</v>
      </c>
      <c r="C29" s="31">
        <v>6</v>
      </c>
      <c r="D29" s="31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 ht="15">
      <c r="A30" s="10">
        <v>43282</v>
      </c>
      <c r="B30" s="68">
        <v>102.137</v>
      </c>
      <c r="C30" s="31">
        <v>7</v>
      </c>
      <c r="D30" s="31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 ht="15">
      <c r="A31" s="10">
        <v>43313</v>
      </c>
      <c r="B31" s="68">
        <v>102.208</v>
      </c>
      <c r="C31" s="31">
        <v>8</v>
      </c>
      <c r="D31" s="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 ht="15">
      <c r="A32" s="10">
        <v>43344</v>
      </c>
      <c r="B32" s="68">
        <v>102.41800000000001</v>
      </c>
      <c r="C32" s="31">
        <v>9</v>
      </c>
      <c r="D32" s="31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 ht="15">
      <c r="A33" s="10">
        <v>43374</v>
      </c>
      <c r="B33" s="68">
        <v>102.595</v>
      </c>
      <c r="C33" s="31">
        <v>10</v>
      </c>
      <c r="D33" s="31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 ht="15">
      <c r="A34" s="10">
        <v>43405</v>
      </c>
      <c r="B34" s="68">
        <v>102.63</v>
      </c>
      <c r="C34" s="31">
        <v>11</v>
      </c>
      <c r="D34" s="31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 ht="15">
      <c r="A35" s="10">
        <v>43435</v>
      </c>
      <c r="B35" s="68">
        <v>102.70099999999999</v>
      </c>
      <c r="C35" s="31">
        <v>12</v>
      </c>
      <c r="D35" s="31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 ht="15">
      <c r="A36" s="16">
        <v>43466</v>
      </c>
      <c r="B36" s="68">
        <v>102.648</v>
      </c>
      <c r="C36" s="31">
        <v>13</v>
      </c>
      <c r="D36" s="31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 ht="15">
      <c r="A37" s="10">
        <v>43497</v>
      </c>
      <c r="B37" s="68">
        <v>102.836</v>
      </c>
      <c r="C37" s="31">
        <v>14</v>
      </c>
      <c r="D37" s="31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 ht="15">
      <c r="A38" s="10">
        <v>43525</v>
      </c>
      <c r="B38" s="68">
        <v>103.069</v>
      </c>
      <c r="C38" s="31">
        <v>15</v>
      </c>
      <c r="D38" s="31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 ht="15">
      <c r="A39" s="10">
        <v>43556</v>
      </c>
      <c r="B39" s="68">
        <v>103.36</v>
      </c>
      <c r="C39" s="31">
        <v>16</v>
      </c>
      <c r="D39" s="31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 ht="15">
      <c r="A40" s="10">
        <v>43586</v>
      </c>
      <c r="B40" s="68">
        <v>103.435</v>
      </c>
      <c r="C40" s="31">
        <v>17</v>
      </c>
      <c r="D40" s="31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 ht="15">
      <c r="A41" s="16">
        <v>43617</v>
      </c>
      <c r="B41" s="68">
        <v>103.48399999999999</v>
      </c>
      <c r="C41" s="31">
        <v>18</v>
      </c>
      <c r="D41" s="31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 ht="15">
      <c r="A42" s="10">
        <v>43647</v>
      </c>
      <c r="B42" s="68">
        <v>103.622</v>
      </c>
      <c r="C42" s="31">
        <v>19</v>
      </c>
      <c r="D42" s="31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 ht="15">
      <c r="A43" s="10">
        <v>43678</v>
      </c>
      <c r="B43" s="68">
        <v>103.67</v>
      </c>
      <c r="C43" s="31">
        <v>20</v>
      </c>
      <c r="D43" s="31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 ht="15">
      <c r="A44" s="10">
        <v>43709</v>
      </c>
      <c r="B44" s="68">
        <v>103.733</v>
      </c>
      <c r="C44" s="31">
        <v>21</v>
      </c>
      <c r="D44" s="31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 ht="15">
      <c r="A45" s="10">
        <v>43739</v>
      </c>
      <c r="B45" s="68">
        <v>103.917</v>
      </c>
      <c r="C45" s="31">
        <v>22</v>
      </c>
      <c r="D45" s="31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 ht="15">
      <c r="A46" s="16">
        <v>43770</v>
      </c>
      <c r="B46" s="68">
        <v>104.024</v>
      </c>
      <c r="C46" s="31">
        <v>23</v>
      </c>
      <c r="D46" s="31">
        <f t="shared" si="0"/>
        <v>1.3582773068303668</v>
      </c>
      <c r="E46">
        <v>23</v>
      </c>
      <c r="F46">
        <v>23</v>
      </c>
      <c r="G46">
        <v>1.358277307</v>
      </c>
      <c r="H46">
        <v>1.7470874236</v>
      </c>
      <c r="I46" t="s">
        <v>223</v>
      </c>
    </row>
    <row r="47" spans="1:9" ht="15">
      <c r="A47" s="10">
        <v>43800</v>
      </c>
      <c r="B47" s="68">
        <v>104.307</v>
      </c>
      <c r="C47" s="31">
        <v>24</v>
      </c>
      <c r="D47" s="31">
        <f t="shared" si="0"/>
        <v>1.5637627676458932</v>
      </c>
      <c r="E47">
        <v>24</v>
      </c>
      <c r="F47">
        <v>24</v>
      </c>
      <c r="G47">
        <v>1.5637627679999999</v>
      </c>
      <c r="H47">
        <v>1.5794906720999999</v>
      </c>
      <c r="I47" t="s">
        <v>224</v>
      </c>
    </row>
    <row r="48" spans="1:9" ht="15">
      <c r="A48" s="10">
        <v>43831</v>
      </c>
      <c r="B48" s="68">
        <v>104.49</v>
      </c>
      <c r="C48" s="31">
        <v>25</v>
      </c>
      <c r="D48" s="31">
        <f t="shared" si="0"/>
        <v>1.7944821136310487</v>
      </c>
      <c r="E48">
        <v>25</v>
      </c>
      <c r="F48">
        <v>25</v>
      </c>
      <c r="G48">
        <v>1.794482114</v>
      </c>
      <c r="H48">
        <v>1.4118939205000001</v>
      </c>
      <c r="I48" t="s">
        <v>225</v>
      </c>
    </row>
    <row r="49" spans="1:9" ht="15">
      <c r="A49" s="10">
        <v>43862</v>
      </c>
      <c r="B49" s="68">
        <v>104.57299999999999</v>
      </c>
      <c r="C49" s="31">
        <v>26</v>
      </c>
      <c r="D49" s="31">
        <f t="shared" si="0"/>
        <v>1.6890972033140095</v>
      </c>
      <c r="E49">
        <v>26</v>
      </c>
      <c r="F49">
        <v>26</v>
      </c>
      <c r="G49">
        <v>1.689097203</v>
      </c>
      <c r="H49">
        <v>1.244297169</v>
      </c>
      <c r="I49" t="s">
        <v>226</v>
      </c>
    </row>
    <row r="50" spans="1:9" ht="15">
      <c r="A50" s="10">
        <v>43891</v>
      </c>
      <c r="B50" s="68">
        <v>104.271</v>
      </c>
      <c r="C50" s="31">
        <v>27</v>
      </c>
      <c r="D50" s="31">
        <f t="shared" si="0"/>
        <v>1.1662090444265474</v>
      </c>
      <c r="E50">
        <v>27</v>
      </c>
      <c r="F50">
        <v>27</v>
      </c>
      <c r="G50">
        <v>1.1662090439999999</v>
      </c>
      <c r="H50">
        <v>1.0767004174999999</v>
      </c>
      <c r="I50" t="s">
        <v>227</v>
      </c>
    </row>
    <row r="51" spans="1:9" ht="15">
      <c r="A51" s="10">
        <v>43922</v>
      </c>
      <c r="B51" s="68">
        <v>103.83799999999999</v>
      </c>
      <c r="C51" s="31">
        <v>28</v>
      </c>
      <c r="D51" s="31">
        <f t="shared" si="0"/>
        <v>0.46246130030959215</v>
      </c>
      <c r="E51">
        <v>28</v>
      </c>
      <c r="F51">
        <v>28</v>
      </c>
      <c r="G51">
        <v>0.46246130000000002</v>
      </c>
      <c r="H51">
        <v>0.90910366600000003</v>
      </c>
      <c r="I51" t="s">
        <v>228</v>
      </c>
    </row>
    <row r="52" spans="1:9" ht="15">
      <c r="A52" s="10">
        <v>43952</v>
      </c>
      <c r="B52" s="68">
        <v>103.94199999999999</v>
      </c>
      <c r="C52" s="31">
        <v>29</v>
      </c>
      <c r="D52" s="31">
        <f t="shared" si="0"/>
        <v>0.49016290423936848</v>
      </c>
      <c r="E52">
        <v>29</v>
      </c>
      <c r="F52">
        <v>29</v>
      </c>
      <c r="G52">
        <v>0.49016290400000001</v>
      </c>
      <c r="H52">
        <v>0.74150691440000005</v>
      </c>
      <c r="I52" t="s">
        <v>229</v>
      </c>
    </row>
    <row r="53" spans="1:9" ht="15">
      <c r="A53" s="10">
        <v>43983</v>
      </c>
      <c r="B53" s="68">
        <v>104.27</v>
      </c>
      <c r="C53" s="31">
        <v>30</v>
      </c>
      <c r="D53" s="31">
        <f t="shared" si="0"/>
        <v>0.75953770631208828</v>
      </c>
      <c r="E53">
        <v>30</v>
      </c>
      <c r="F53">
        <v>30</v>
      </c>
      <c r="G53">
        <v>0.75953770600000003</v>
      </c>
      <c r="H53">
        <v>0.57391016289999996</v>
      </c>
      <c r="I53" t="s">
        <v>230</v>
      </c>
    </row>
    <row r="54" spans="1:9" ht="15">
      <c r="A54" s="16">
        <v>44013</v>
      </c>
      <c r="B54" s="68">
        <v>104.578</v>
      </c>
      <c r="C54" s="31">
        <v>31</v>
      </c>
      <c r="D54" s="31">
        <f t="shared" si="0"/>
        <v>0.92258400725714917</v>
      </c>
      <c r="E54">
        <v>31</v>
      </c>
      <c r="F54">
        <v>31</v>
      </c>
      <c r="G54">
        <v>0.92258400699999998</v>
      </c>
      <c r="H54">
        <v>0.94683608340000003</v>
      </c>
      <c r="I54" t="s">
        <v>386</v>
      </c>
    </row>
    <row r="55" spans="1:9" ht="15">
      <c r="A55" s="10">
        <v>44044</v>
      </c>
      <c r="B55" s="68">
        <v>104.87</v>
      </c>
      <c r="C55" s="31">
        <v>32</v>
      </c>
      <c r="D55" s="31">
        <f t="shared" si="0"/>
        <v>1.1575190508343811</v>
      </c>
      <c r="E55">
        <v>32</v>
      </c>
      <c r="F55">
        <v>32</v>
      </c>
      <c r="G55">
        <v>1.157519051</v>
      </c>
      <c r="H55">
        <v>1.0510707502000001</v>
      </c>
      <c r="I55" t="s">
        <v>387</v>
      </c>
    </row>
    <row r="56" spans="1:9" ht="15">
      <c r="A56" s="10">
        <v>44075</v>
      </c>
      <c r="B56" s="68">
        <v>105.057</v>
      </c>
      <c r="C56" s="31">
        <v>33</v>
      </c>
      <c r="D56" s="31">
        <f t="shared" si="0"/>
        <v>1.2763537157895732</v>
      </c>
      <c r="E56">
        <v>33</v>
      </c>
      <c r="F56">
        <v>33</v>
      </c>
      <c r="G56">
        <v>1.276353716</v>
      </c>
      <c r="H56">
        <v>1.1553054169999999</v>
      </c>
      <c r="I56" t="s">
        <v>388</v>
      </c>
    </row>
    <row r="57" spans="1:9" ht="15">
      <c r="A57" s="10">
        <v>44105</v>
      </c>
      <c r="B57" s="68">
        <v>105.151</v>
      </c>
      <c r="C57" s="31">
        <v>34</v>
      </c>
      <c r="D57" s="31">
        <f t="shared" si="0"/>
        <v>1.1874861668446881</v>
      </c>
      <c r="E57">
        <v>34</v>
      </c>
      <c r="F57">
        <v>34</v>
      </c>
      <c r="G57">
        <v>1.1874861670000001</v>
      </c>
      <c r="H57">
        <v>1.2595400836999999</v>
      </c>
      <c r="I57" t="s">
        <v>234</v>
      </c>
    </row>
    <row r="58" spans="1:9" ht="15">
      <c r="A58" s="10">
        <v>44136</v>
      </c>
      <c r="B58" s="68">
        <v>105.258</v>
      </c>
      <c r="C58" s="31">
        <v>35</v>
      </c>
      <c r="D58" s="31">
        <f t="shared" si="0"/>
        <v>1.1862647081442692</v>
      </c>
      <c r="E58">
        <v>35</v>
      </c>
      <c r="F58">
        <v>35</v>
      </c>
      <c r="G58">
        <v>1.1862647079999999</v>
      </c>
      <c r="H58">
        <v>1.3637747505</v>
      </c>
      <c r="I58" t="s">
        <v>109</v>
      </c>
    </row>
    <row r="59" spans="1:9" ht="15">
      <c r="A59" s="10">
        <v>44166</v>
      </c>
      <c r="B59" s="68">
        <v>105.699</v>
      </c>
      <c r="C59" s="31">
        <v>36</v>
      </c>
      <c r="D59" s="31">
        <f t="shared" si="0"/>
        <v>1.3345221317840565</v>
      </c>
      <c r="E59">
        <v>36</v>
      </c>
      <c r="F59">
        <v>36</v>
      </c>
      <c r="G59">
        <v>1.334522132</v>
      </c>
      <c r="H59">
        <v>1.4680094173</v>
      </c>
      <c r="I59" t="s">
        <v>389</v>
      </c>
    </row>
    <row r="60" spans="1:9" ht="15">
      <c r="A60" s="10">
        <v>44197</v>
      </c>
      <c r="B60" s="68">
        <v>106.14700000000001</v>
      </c>
      <c r="C60" s="31">
        <v>37</v>
      </c>
      <c r="D60" s="31">
        <f t="shared" si="0"/>
        <v>1.5857976839889087</v>
      </c>
      <c r="E60">
        <v>37</v>
      </c>
      <c r="F60">
        <v>37</v>
      </c>
      <c r="G60">
        <v>1.5857976840000001</v>
      </c>
      <c r="H60">
        <v>1.5722440841</v>
      </c>
      <c r="I60" t="s">
        <v>390</v>
      </c>
    </row>
    <row r="61" spans="1:9" ht="15">
      <c r="A61" s="10">
        <v>44228</v>
      </c>
      <c r="B61" s="68">
        <v>106.5</v>
      </c>
      <c r="C61" s="31">
        <v>38</v>
      </c>
      <c r="D61" s="31">
        <f t="shared" si="0"/>
        <v>1.8427318715155985</v>
      </c>
      <c r="E61">
        <v>38</v>
      </c>
      <c r="F61">
        <v>38</v>
      </c>
      <c r="G61">
        <v>1.8427318720000001</v>
      </c>
      <c r="H61">
        <v>1.6764787508000001</v>
      </c>
      <c r="I61" t="s">
        <v>391</v>
      </c>
    </row>
    <row r="62" spans="1:9" ht="15">
      <c r="A62" s="16">
        <v>44256</v>
      </c>
      <c r="B62" s="68">
        <v>107.054</v>
      </c>
      <c r="C62" s="31">
        <v>39</v>
      </c>
      <c r="D62" s="31">
        <f t="shared" si="0"/>
        <v>2.6690067228663783</v>
      </c>
      <c r="E62">
        <v>39</v>
      </c>
      <c r="F62">
        <v>39</v>
      </c>
      <c r="G62">
        <v>2.6690067229999999</v>
      </c>
      <c r="H62">
        <v>2.9773678308</v>
      </c>
      <c r="I62" t="s">
        <v>238</v>
      </c>
    </row>
    <row r="63" spans="1:9" ht="15">
      <c r="A63" s="10">
        <v>44287</v>
      </c>
      <c r="B63" s="68">
        <v>107.61799999999999</v>
      </c>
      <c r="C63" s="31">
        <v>40</v>
      </c>
      <c r="D63" s="31">
        <f t="shared" si="0"/>
        <v>3.6402858298503453</v>
      </c>
      <c r="E63">
        <v>40</v>
      </c>
      <c r="F63">
        <v>40</v>
      </c>
      <c r="G63">
        <v>3.6402858299999998</v>
      </c>
      <c r="H63">
        <v>3.4047939680999999</v>
      </c>
      <c r="I63" t="s">
        <v>110</v>
      </c>
    </row>
    <row r="64" spans="1:9" ht="15">
      <c r="A64" s="10">
        <v>44317</v>
      </c>
      <c r="B64" s="68">
        <v>108.175</v>
      </c>
      <c r="C64" s="31">
        <v>41</v>
      </c>
      <c r="D64" s="31">
        <f t="shared" si="0"/>
        <v>4.072463489253626</v>
      </c>
      <c r="E64">
        <v>41</v>
      </c>
      <c r="F64">
        <v>41</v>
      </c>
      <c r="G64">
        <v>4.0724634890000004</v>
      </c>
      <c r="H64">
        <v>3.8322201053999998</v>
      </c>
      <c r="I64" t="s">
        <v>392</v>
      </c>
    </row>
    <row r="65" spans="1:9" ht="15">
      <c r="A65" s="10">
        <v>44348</v>
      </c>
      <c r="B65" s="68">
        <v>108.76</v>
      </c>
      <c r="C65" s="31">
        <v>42</v>
      </c>
      <c r="D65" s="31">
        <f t="shared" si="0"/>
        <v>4.3061283207058683</v>
      </c>
      <c r="E65">
        <v>42</v>
      </c>
      <c r="F65">
        <v>42</v>
      </c>
      <c r="G65">
        <v>4.3061283210000001</v>
      </c>
      <c r="H65">
        <v>4.2596462426999997</v>
      </c>
      <c r="I65" t="s">
        <v>393</v>
      </c>
    </row>
    <row r="66" spans="1:9" ht="15">
      <c r="A66" s="10">
        <v>44378</v>
      </c>
      <c r="B66" s="68">
        <v>109.256</v>
      </c>
      <c r="C66" s="31">
        <v>43</v>
      </c>
      <c r="D66" s="31">
        <f t="shared" si="0"/>
        <v>4.4732161640115482</v>
      </c>
      <c r="E66">
        <v>43</v>
      </c>
      <c r="F66">
        <v>43</v>
      </c>
      <c r="G66">
        <v>4.4732161640000001</v>
      </c>
      <c r="H66">
        <v>4.68707238</v>
      </c>
      <c r="I66" t="s">
        <v>394</v>
      </c>
    </row>
    <row r="67" spans="1:9" ht="15">
      <c r="A67" s="16">
        <v>44409</v>
      </c>
      <c r="B67" s="68">
        <v>109.67400000000001</v>
      </c>
      <c r="C67" s="31">
        <v>44</v>
      </c>
      <c r="D67" s="31">
        <f t="shared" si="0"/>
        <v>4.5809096977209895</v>
      </c>
      <c r="E67">
        <v>44</v>
      </c>
      <c r="F67">
        <v>44</v>
      </c>
      <c r="G67">
        <v>4.5809096980000001</v>
      </c>
      <c r="H67">
        <v>4.4823504152</v>
      </c>
      <c r="I67" t="s">
        <v>242</v>
      </c>
    </row>
    <row r="68" spans="1:9" ht="15">
      <c r="A68" s="10">
        <v>44440</v>
      </c>
      <c r="B68" s="68">
        <v>110.03400000000001</v>
      </c>
      <c r="C68" s="31">
        <v>45</v>
      </c>
      <c r="D68" s="31">
        <f t="shared" si="0"/>
        <v>4.7374282532339622</v>
      </c>
      <c r="E68">
        <v>45</v>
      </c>
      <c r="F68">
        <v>45</v>
      </c>
      <c r="G68">
        <v>4.737428253</v>
      </c>
      <c r="H68">
        <v>4.9138385435999998</v>
      </c>
      <c r="I68" t="s">
        <v>243</v>
      </c>
    </row>
    <row r="69" spans="1:9" ht="15">
      <c r="A69" s="10">
        <v>44470</v>
      </c>
      <c r="B69" s="68">
        <v>110.762</v>
      </c>
      <c r="C69" s="31">
        <v>46</v>
      </c>
      <c r="D69" s="31">
        <f t="shared" si="0"/>
        <v>5.3361356525377825</v>
      </c>
      <c r="E69">
        <v>46</v>
      </c>
      <c r="F69">
        <v>46</v>
      </c>
      <c r="G69">
        <v>5.3361356530000004</v>
      </c>
      <c r="H69">
        <v>5.3453266719999997</v>
      </c>
      <c r="I69" t="s">
        <v>395</v>
      </c>
    </row>
    <row r="70" spans="1:9" ht="15">
      <c r="A70" s="10">
        <v>44501</v>
      </c>
      <c r="B70" s="68">
        <v>111.5</v>
      </c>
      <c r="C70" s="31">
        <v>47</v>
      </c>
      <c r="D70" s="31">
        <f t="shared" si="0"/>
        <v>5.9301905793383929</v>
      </c>
      <c r="E70">
        <v>47</v>
      </c>
      <c r="F70">
        <v>47</v>
      </c>
      <c r="G70">
        <v>5.9301905789999996</v>
      </c>
      <c r="H70">
        <v>5.7768148004000004</v>
      </c>
      <c r="I70" t="s">
        <v>396</v>
      </c>
    </row>
    <row r="71" spans="1:9" ht="15">
      <c r="A71" s="10">
        <v>44531</v>
      </c>
      <c r="B71" s="68">
        <v>112.191</v>
      </c>
      <c r="C71" s="31">
        <v>48</v>
      </c>
      <c r="D71" s="31">
        <f t="shared" si="0"/>
        <v>6.1419691766241922</v>
      </c>
      <c r="E71">
        <v>48</v>
      </c>
      <c r="F71">
        <v>48</v>
      </c>
      <c r="G71">
        <v>6.141969177</v>
      </c>
      <c r="H71">
        <v>6.2083029288000002</v>
      </c>
      <c r="I71" t="s">
        <v>397</v>
      </c>
    </row>
    <row r="72" spans="1:9" ht="15">
      <c r="A72" s="16">
        <v>44562</v>
      </c>
      <c r="B72" s="68">
        <v>112.80500000000001</v>
      </c>
      <c r="C72" s="31">
        <v>49</v>
      </c>
      <c r="D72" s="31">
        <f t="shared" si="0"/>
        <v>6.2724335120163559</v>
      </c>
      <c r="E72">
        <v>49</v>
      </c>
      <c r="F72">
        <v>49</v>
      </c>
      <c r="G72">
        <v>6.2724335120000001</v>
      </c>
      <c r="H72">
        <v>6.3616295271999999</v>
      </c>
      <c r="I72" t="s">
        <v>247</v>
      </c>
    </row>
    <row r="73" spans="1:9" ht="15">
      <c r="A73" s="10">
        <v>44593</v>
      </c>
      <c r="B73" s="68">
        <v>113.471</v>
      </c>
      <c r="C73" s="31">
        <v>50</v>
      </c>
      <c r="D73" s="31">
        <f t="shared" si="0"/>
        <v>6.54553990610329</v>
      </c>
      <c r="E73">
        <v>50</v>
      </c>
      <c r="F73">
        <v>50</v>
      </c>
      <c r="G73">
        <v>6.5455399060000001</v>
      </c>
      <c r="H73">
        <v>6.5147882140000002</v>
      </c>
      <c r="I73" t="s">
        <v>248</v>
      </c>
    </row>
    <row r="74" spans="1:9" ht="15">
      <c r="A74" s="10">
        <v>44621</v>
      </c>
      <c r="B74" s="68">
        <v>114.46899999999999</v>
      </c>
      <c r="C74" s="31">
        <v>51</v>
      </c>
      <c r="D74" s="31">
        <f t="shared" si="0"/>
        <v>6.9264109701645822</v>
      </c>
      <c r="E74">
        <v>51</v>
      </c>
      <c r="F74">
        <v>51</v>
      </c>
      <c r="G74">
        <v>6.9264109700000001</v>
      </c>
      <c r="H74">
        <v>6.6679469008999996</v>
      </c>
      <c r="I74" t="s">
        <v>398</v>
      </c>
    </row>
    <row r="75" spans="1:9" ht="15">
      <c r="A75" s="10">
        <v>44652</v>
      </c>
      <c r="B75" s="68">
        <v>114.812</v>
      </c>
      <c r="C75" s="31">
        <v>52</v>
      </c>
      <c r="D75" s="31">
        <f t="shared" si="0"/>
        <v>6.6847553383263056</v>
      </c>
      <c r="E75">
        <v>52</v>
      </c>
      <c r="F75">
        <v>52</v>
      </c>
      <c r="G75">
        <v>6.6847553380000004</v>
      </c>
      <c r="H75">
        <v>6.8211055878</v>
      </c>
      <c r="I75" t="s">
        <v>399</v>
      </c>
    </row>
    <row r="76" spans="1:9" ht="15">
      <c r="A76" s="10">
        <v>44682</v>
      </c>
      <c r="B76" s="68">
        <v>115.52500000000001</v>
      </c>
      <c r="C76" s="31">
        <v>53</v>
      </c>
      <c r="D76" s="31">
        <f t="shared" si="0"/>
        <v>6.7945458747400131</v>
      </c>
      <c r="E76">
        <v>53</v>
      </c>
      <c r="F76">
        <v>53</v>
      </c>
      <c r="G76">
        <v>6.7945458749999998</v>
      </c>
      <c r="H76">
        <v>6.9742642746000003</v>
      </c>
      <c r="I76" t="s">
        <v>400</v>
      </c>
    </row>
    <row r="77" spans="1:9" ht="15">
      <c r="A77" s="10">
        <v>44713</v>
      </c>
      <c r="B77" s="68">
        <v>116.63800000000001</v>
      </c>
      <c r="C77" s="31">
        <v>54</v>
      </c>
      <c r="D77" s="31">
        <f t="shared" si="0"/>
        <v>7.2434718646561231</v>
      </c>
      <c r="E77">
        <v>54</v>
      </c>
      <c r="F77">
        <v>54</v>
      </c>
      <c r="G77">
        <v>7.2434718650000001</v>
      </c>
      <c r="H77">
        <v>7.1274229614999998</v>
      </c>
      <c r="I77" t="s">
        <v>252</v>
      </c>
    </row>
    <row r="78" spans="1:9" ht="15">
      <c r="A78" s="16">
        <v>44743</v>
      </c>
      <c r="B78" s="68">
        <v>116.631</v>
      </c>
      <c r="C78" s="31">
        <v>55</v>
      </c>
      <c r="D78" s="31">
        <f t="shared" si="0"/>
        <v>6.7502013619389327</v>
      </c>
      <c r="E78">
        <v>55</v>
      </c>
      <c r="F78">
        <v>55</v>
      </c>
      <c r="G78">
        <v>6.7502013620000003</v>
      </c>
      <c r="H78">
        <v>6.9469908236000002</v>
      </c>
      <c r="I78" t="s">
        <v>253</v>
      </c>
    </row>
    <row r="79" spans="1:9" ht="15">
      <c r="A79" s="10">
        <v>44774</v>
      </c>
      <c r="B79" s="68">
        <v>116.956</v>
      </c>
      <c r="C79" s="31">
        <v>56</v>
      </c>
      <c r="D79" s="31">
        <f t="shared" si="0"/>
        <v>6.6396775899483886</v>
      </c>
      <c r="E79">
        <v>56</v>
      </c>
      <c r="F79">
        <v>56</v>
      </c>
      <c r="G79">
        <v>6.6396775899999998</v>
      </c>
      <c r="H79">
        <v>6.7041185396999996</v>
      </c>
      <c r="I79" t="s">
        <v>401</v>
      </c>
    </row>
    <row r="80" spans="1:9" ht="15">
      <c r="A80" s="10">
        <v>44805</v>
      </c>
      <c r="B80" s="68">
        <v>117.371</v>
      </c>
      <c r="C80" s="31">
        <v>57</v>
      </c>
      <c r="D80" s="31">
        <f t="shared" si="0"/>
        <v>6.6679390006725088</v>
      </c>
      <c r="E80">
        <v>57</v>
      </c>
      <c r="F80">
        <v>57</v>
      </c>
      <c r="G80">
        <v>6.6679390009999997</v>
      </c>
      <c r="H80">
        <v>6.4612462557999999</v>
      </c>
      <c r="I80" t="s">
        <v>402</v>
      </c>
    </row>
    <row r="81" spans="1:9" ht="15">
      <c r="A81" s="10">
        <v>44835</v>
      </c>
      <c r="B81" s="68">
        <v>117.919</v>
      </c>
      <c r="C81" s="31">
        <v>58</v>
      </c>
      <c r="D81" s="31">
        <f t="shared" si="0"/>
        <v>6.4616023545981438</v>
      </c>
      <c r="E81">
        <v>58</v>
      </c>
      <c r="F81">
        <v>58</v>
      </c>
      <c r="G81">
        <v>6.4616023550000001</v>
      </c>
      <c r="H81">
        <v>6.2183739719000002</v>
      </c>
      <c r="I81" t="s">
        <v>403</v>
      </c>
    </row>
    <row r="82" spans="1:9" ht="15">
      <c r="A82" s="10">
        <v>44866</v>
      </c>
      <c r="B82" s="68">
        <v>118.224</v>
      </c>
      <c r="C82" s="31">
        <v>59</v>
      </c>
      <c r="D82" s="31">
        <f t="shared" si="0"/>
        <v>6.0304932735426036</v>
      </c>
      <c r="E82">
        <v>59</v>
      </c>
      <c r="F82">
        <v>59</v>
      </c>
      <c r="G82">
        <v>6.0304932740000003</v>
      </c>
      <c r="H82">
        <v>5.9755016880999996</v>
      </c>
      <c r="I82" t="s">
        <v>257</v>
      </c>
    </row>
    <row r="83" spans="1:9" ht="15">
      <c r="A83" s="10">
        <v>44896</v>
      </c>
      <c r="B83" s="68">
        <v>118.384</v>
      </c>
      <c r="C83" s="31">
        <v>60</v>
      </c>
      <c r="D83" s="31">
        <f t="shared" si="0"/>
        <v>5.520050627946981</v>
      </c>
      <c r="E83">
        <v>60</v>
      </c>
      <c r="F83">
        <v>60</v>
      </c>
      <c r="G83">
        <v>5.5200506279999999</v>
      </c>
      <c r="H83">
        <v>5.7326294041999999</v>
      </c>
      <c r="I83" t="s">
        <v>258</v>
      </c>
    </row>
    <row r="84" spans="1:9" ht="15">
      <c r="A84" s="10">
        <v>44927</v>
      </c>
      <c r="B84" s="68">
        <v>119.018</v>
      </c>
      <c r="C84" s="31">
        <v>61</v>
      </c>
      <c r="D84" s="31">
        <f t="shared" si="0"/>
        <v>5.5077345862328739</v>
      </c>
      <c r="E84">
        <v>61</v>
      </c>
      <c r="F84">
        <v>61</v>
      </c>
      <c r="G84">
        <v>5.5077345859999998</v>
      </c>
      <c r="H84">
        <v>5.4897571203000002</v>
      </c>
      <c r="I84" t="s">
        <v>404</v>
      </c>
    </row>
    <row r="85" spans="1:9" ht="15">
      <c r="A85" s="10">
        <v>44958</v>
      </c>
      <c r="B85" s="68">
        <v>119.369</v>
      </c>
      <c r="C85" s="31">
        <v>62</v>
      </c>
      <c r="D85" s="31">
        <f t="shared" si="0"/>
        <v>5.1978038441540093</v>
      </c>
      <c r="E85">
        <v>62</v>
      </c>
      <c r="F85">
        <v>62</v>
      </c>
      <c r="G85">
        <v>5.1978038440000001</v>
      </c>
      <c r="H85">
        <v>5.2468848363999996</v>
      </c>
      <c r="I85" t="s">
        <v>405</v>
      </c>
    </row>
    <row r="86" spans="1:9" ht="15">
      <c r="A86" s="16">
        <v>44986</v>
      </c>
      <c r="B86" s="68">
        <v>119.538</v>
      </c>
      <c r="C86" s="31">
        <v>63</v>
      </c>
      <c r="D86" s="31">
        <f t="shared" si="0"/>
        <v>4.4282731569245843</v>
      </c>
      <c r="E86">
        <v>63</v>
      </c>
      <c r="F86">
        <v>63</v>
      </c>
      <c r="G86">
        <v>4.4282731569999996</v>
      </c>
      <c r="H86">
        <v>4.5662531303999998</v>
      </c>
      <c r="I86" t="s">
        <v>406</v>
      </c>
    </row>
    <row r="87" spans="1:9" ht="15">
      <c r="A87" s="10">
        <v>45017</v>
      </c>
      <c r="B87" s="68">
        <v>119.95099999999999</v>
      </c>
      <c r="C87" s="31">
        <v>64</v>
      </c>
      <c r="D87" s="31">
        <f t="shared" si="0"/>
        <v>4.4760129603177337</v>
      </c>
      <c r="E87">
        <v>64</v>
      </c>
      <c r="F87">
        <v>64</v>
      </c>
      <c r="G87">
        <v>4.4760129600000003</v>
      </c>
      <c r="H87">
        <v>4.2432577756000001</v>
      </c>
      <c r="I87" t="s">
        <v>262</v>
      </c>
    </row>
    <row r="88" spans="1:9" ht="15">
      <c r="A88" s="10">
        <v>45047</v>
      </c>
      <c r="B88" s="68">
        <v>120.15</v>
      </c>
      <c r="C88" s="31">
        <v>65</v>
      </c>
      <c r="D88" s="31">
        <f t="shared" si="0"/>
        <v>4.003462454014282</v>
      </c>
      <c r="E88">
        <v>65</v>
      </c>
      <c r="F88">
        <v>65</v>
      </c>
      <c r="G88">
        <v>4.0034624540000001</v>
      </c>
      <c r="H88">
        <v>3.9202624207999999</v>
      </c>
      <c r="I88" t="s">
        <v>263</v>
      </c>
    </row>
    <row r="89" spans="1:9" ht="15">
      <c r="A89" s="10">
        <v>45078</v>
      </c>
      <c r="B89" s="68">
        <v>120.46899999999999</v>
      </c>
      <c r="C89" s="31">
        <v>66</v>
      </c>
      <c r="D89" s="31">
        <f t="shared" si="0"/>
        <v>3.2845213395291317</v>
      </c>
      <c r="E89">
        <v>66</v>
      </c>
      <c r="F89">
        <v>66</v>
      </c>
      <c r="G89">
        <v>3.28452134</v>
      </c>
      <c r="H89">
        <v>3.5972670660000001</v>
      </c>
      <c r="I89" t="s">
        <v>407</v>
      </c>
    </row>
    <row r="90" spans="1:9" ht="15">
      <c r="A90" s="10">
        <v>45108</v>
      </c>
      <c r="B90" s="68">
        <v>120.607</v>
      </c>
      <c r="C90" s="31">
        <v>67</v>
      </c>
      <c r="D90" s="31">
        <f t="shared" ref="D90:D118" si="1">100*(B90-B78)/B78</f>
        <v>3.4090421928989714</v>
      </c>
      <c r="E90">
        <v>67</v>
      </c>
      <c r="F90">
        <v>67</v>
      </c>
      <c r="G90">
        <v>3.4090421929999999</v>
      </c>
      <c r="H90">
        <v>3.2742717111999999</v>
      </c>
      <c r="I90" t="s">
        <v>408</v>
      </c>
    </row>
    <row r="91" spans="1:9" ht="15">
      <c r="A91" s="16">
        <v>45139</v>
      </c>
      <c r="B91" s="68">
        <v>120.97</v>
      </c>
      <c r="C91" s="31">
        <v>68</v>
      </c>
      <c r="D91" s="31">
        <f t="shared" si="1"/>
        <v>3.4320599199698996</v>
      </c>
      <c r="E91">
        <v>68</v>
      </c>
      <c r="F91">
        <v>68</v>
      </c>
      <c r="G91">
        <v>3.4320599199999999</v>
      </c>
      <c r="H91">
        <v>3.4899922596000001</v>
      </c>
      <c r="I91" t="s">
        <v>409</v>
      </c>
    </row>
    <row r="92" spans="1:9" ht="15">
      <c r="A92" s="10">
        <v>45170</v>
      </c>
      <c r="B92" s="68">
        <v>121.419</v>
      </c>
      <c r="C92" s="31">
        <v>69</v>
      </c>
      <c r="D92" s="31">
        <f t="shared" si="1"/>
        <v>3.448892827018601</v>
      </c>
      <c r="E92">
        <v>69</v>
      </c>
      <c r="F92">
        <v>69</v>
      </c>
      <c r="G92">
        <v>3.4488928269999999</v>
      </c>
      <c r="H92">
        <v>3.2886531622000001</v>
      </c>
      <c r="I92" t="s">
        <v>273</v>
      </c>
    </row>
    <row r="93" spans="1:9" ht="15">
      <c r="A93" s="10">
        <v>45200</v>
      </c>
      <c r="B93" s="68">
        <v>121.48399999999999</v>
      </c>
      <c r="C93" s="31">
        <v>70</v>
      </c>
      <c r="D93" s="31">
        <f t="shared" si="1"/>
        <v>3.0232617305099243</v>
      </c>
      <c r="E93">
        <v>70</v>
      </c>
      <c r="F93">
        <v>70</v>
      </c>
      <c r="G93">
        <v>3.0232617309999998</v>
      </c>
      <c r="H93">
        <v>3.0873140648000001</v>
      </c>
      <c r="I93" t="s">
        <v>274</v>
      </c>
    </row>
    <row r="94" spans="1:9" ht="15">
      <c r="A94" s="10">
        <v>45231</v>
      </c>
      <c r="B94" s="68">
        <v>121.49299999999999</v>
      </c>
      <c r="C94" s="31">
        <v>71</v>
      </c>
      <c r="D94" s="31">
        <f t="shared" si="1"/>
        <v>2.7650899986466295</v>
      </c>
      <c r="E94">
        <v>71</v>
      </c>
      <c r="F94">
        <v>71</v>
      </c>
      <c r="G94">
        <v>2.7650899990000002</v>
      </c>
      <c r="H94">
        <v>2.8859749674000001</v>
      </c>
      <c r="I94" t="s">
        <v>410</v>
      </c>
    </row>
    <row r="95" spans="1:9" ht="15">
      <c r="A95" s="10">
        <v>45261</v>
      </c>
      <c r="B95" s="68">
        <v>121.66</v>
      </c>
      <c r="C95" s="31">
        <v>72</v>
      </c>
      <c r="D95" s="31">
        <f t="shared" si="1"/>
        <v>2.7672658467360423</v>
      </c>
      <c r="E95">
        <v>72</v>
      </c>
      <c r="F95">
        <v>72</v>
      </c>
      <c r="G95">
        <v>2.767265847</v>
      </c>
      <c r="H95">
        <v>2.6846358700000001</v>
      </c>
      <c r="I95" t="s">
        <v>411</v>
      </c>
    </row>
    <row r="96" spans="1:9" ht="15">
      <c r="A96" s="16">
        <v>45292</v>
      </c>
      <c r="B96" s="68">
        <v>122.23</v>
      </c>
      <c r="C96" s="14">
        <v>73</v>
      </c>
      <c r="D96" s="14">
        <f t="shared" si="1"/>
        <v>2.6987514493606035</v>
      </c>
      <c r="E96">
        <v>73</v>
      </c>
      <c r="F96">
        <v>73</v>
      </c>
      <c r="G96">
        <v>2.698751449</v>
      </c>
      <c r="H96">
        <v>2.8644340452999999</v>
      </c>
      <c r="I96" t="s">
        <v>412</v>
      </c>
    </row>
    <row r="97" spans="1:12" ht="15">
      <c r="A97" s="10">
        <v>45323</v>
      </c>
      <c r="B97" s="68">
        <v>122.598</v>
      </c>
      <c r="C97" s="31">
        <v>74</v>
      </c>
      <c r="D97" s="31">
        <f t="shared" si="1"/>
        <v>2.7050574269701508</v>
      </c>
      <c r="E97">
        <v>74</v>
      </c>
      <c r="F97">
        <v>74</v>
      </c>
      <c r="G97">
        <v>2.7050574269999998</v>
      </c>
      <c r="H97">
        <v>2.8048834963</v>
      </c>
      <c r="I97" t="s">
        <v>339</v>
      </c>
    </row>
    <row r="98" spans="1:12" ht="15">
      <c r="A98" s="10">
        <v>45352</v>
      </c>
      <c r="B98" s="68">
        <v>123.038</v>
      </c>
      <c r="C98" s="31">
        <v>75</v>
      </c>
      <c r="D98" s="31">
        <f t="shared" si="1"/>
        <v>2.9279392327126104</v>
      </c>
      <c r="E98">
        <v>75</v>
      </c>
      <c r="F98">
        <v>75</v>
      </c>
      <c r="G98">
        <v>2.927939233</v>
      </c>
      <c r="H98">
        <v>2.7453329472000001</v>
      </c>
      <c r="I98" t="s">
        <v>340</v>
      </c>
    </row>
    <row r="99" spans="1:12" ht="15">
      <c r="A99" s="10">
        <v>45383</v>
      </c>
      <c r="B99" s="68">
        <v>123.34099999999999</v>
      </c>
      <c r="C99" s="31">
        <v>76</v>
      </c>
      <c r="D99" s="31">
        <f t="shared" si="1"/>
        <v>2.8261540128885967</v>
      </c>
      <c r="E99">
        <v>76</v>
      </c>
      <c r="F99">
        <v>76</v>
      </c>
      <c r="G99">
        <v>2.826154013</v>
      </c>
      <c r="H99">
        <v>2.6857823982000002</v>
      </c>
      <c r="I99" t="s">
        <v>413</v>
      </c>
    </row>
    <row r="100" spans="1:12" ht="15">
      <c r="A100" s="10">
        <v>45413</v>
      </c>
      <c r="B100" s="68">
        <v>123.348</v>
      </c>
      <c r="C100" s="31">
        <v>77</v>
      </c>
      <c r="D100" s="31">
        <f t="shared" si="1"/>
        <v>2.6616729088639146</v>
      </c>
      <c r="E100">
        <v>77</v>
      </c>
      <c r="F100">
        <v>77</v>
      </c>
      <c r="G100">
        <v>2.661672909</v>
      </c>
      <c r="H100">
        <v>2.6262318490999998</v>
      </c>
      <c r="I100" t="s">
        <v>414</v>
      </c>
    </row>
    <row r="101" spans="1:12" ht="15">
      <c r="A101" s="10">
        <v>45444</v>
      </c>
      <c r="B101" s="68">
        <v>123.539</v>
      </c>
      <c r="C101" s="31">
        <v>78</v>
      </c>
      <c r="D101" s="31">
        <f t="shared" si="1"/>
        <v>2.5483734404701686</v>
      </c>
      <c r="E101">
        <v>78</v>
      </c>
      <c r="F101">
        <v>78</v>
      </c>
      <c r="G101">
        <v>2.5483734400000002</v>
      </c>
      <c r="H101">
        <v>2.5666813001</v>
      </c>
      <c r="I101" t="s">
        <v>415</v>
      </c>
    </row>
    <row r="102" spans="1:12" ht="15">
      <c r="A102" s="10">
        <v>45474</v>
      </c>
      <c r="B102" s="68">
        <v>123.736</v>
      </c>
      <c r="C102" s="31">
        <v>79</v>
      </c>
      <c r="D102" s="31">
        <f t="shared" si="1"/>
        <v>2.5943767774673154</v>
      </c>
      <c r="E102">
        <v>79</v>
      </c>
      <c r="F102">
        <v>79</v>
      </c>
      <c r="G102">
        <v>2.5943767769999999</v>
      </c>
      <c r="H102">
        <v>2.507130751</v>
      </c>
      <c r="I102" t="s">
        <v>452</v>
      </c>
    </row>
    <row r="103" spans="1:12" ht="15">
      <c r="A103" s="10">
        <v>45505</v>
      </c>
      <c r="B103" s="68">
        <v>123.889</v>
      </c>
      <c r="C103" s="31">
        <v>80</v>
      </c>
      <c r="D103" s="31">
        <f t="shared" si="1"/>
        <v>2.412994957427459</v>
      </c>
      <c r="E103">
        <v>80</v>
      </c>
      <c r="F103">
        <v>80</v>
      </c>
      <c r="G103">
        <v>2.412994957</v>
      </c>
      <c r="H103">
        <v>2.4475802020000001</v>
      </c>
      <c r="I103" t="s">
        <v>453</v>
      </c>
    </row>
    <row r="104" spans="1:12" ht="15">
      <c r="A104" s="10">
        <v>45536</v>
      </c>
      <c r="B104" s="68">
        <v>124.164</v>
      </c>
      <c r="C104" s="31">
        <v>81</v>
      </c>
      <c r="D104" s="31">
        <f t="shared" si="1"/>
        <v>2.2607664368838525</v>
      </c>
      <c r="E104">
        <v>81</v>
      </c>
      <c r="F104">
        <v>81</v>
      </c>
      <c r="G104">
        <v>2.260766437</v>
      </c>
      <c r="H104">
        <v>2.3880296528999998</v>
      </c>
      <c r="I104" t="s">
        <v>469</v>
      </c>
    </row>
    <row r="105" spans="1:12" ht="15">
      <c r="A105" s="16">
        <v>45566</v>
      </c>
      <c r="B105" s="68">
        <v>124.494</v>
      </c>
      <c r="C105" s="14">
        <v>82</v>
      </c>
      <c r="D105" s="14">
        <f t="shared" si="1"/>
        <v>2.4776925356425581</v>
      </c>
      <c r="E105">
        <v>82</v>
      </c>
      <c r="F105">
        <v>82</v>
      </c>
      <c r="G105">
        <v>2.4776925360000002</v>
      </c>
      <c r="H105">
        <v>2.5252588901999999</v>
      </c>
      <c r="I105" t="s">
        <v>454</v>
      </c>
    </row>
    <row r="106" spans="1:12" ht="15">
      <c r="A106" s="10">
        <v>45597</v>
      </c>
      <c r="B106" s="68">
        <v>124.637</v>
      </c>
      <c r="C106" s="31">
        <v>83</v>
      </c>
      <c r="D106" s="31">
        <f t="shared" si="1"/>
        <v>2.5878034125422911</v>
      </c>
      <c r="E106">
        <v>83</v>
      </c>
      <c r="F106">
        <v>83</v>
      </c>
      <c r="G106">
        <v>2.5878034130000001</v>
      </c>
      <c r="H106">
        <v>2.5737749292999998</v>
      </c>
      <c r="I106" t="s">
        <v>455</v>
      </c>
    </row>
    <row r="107" spans="1:12" ht="15">
      <c r="A107" s="10">
        <v>45627</v>
      </c>
      <c r="B107" s="68">
        <v>124.979</v>
      </c>
      <c r="C107" s="31">
        <v>84</v>
      </c>
      <c r="D107" s="31">
        <f t="shared" si="1"/>
        <v>2.7280946901200087</v>
      </c>
      <c r="E107">
        <v>84</v>
      </c>
      <c r="F107">
        <v>84</v>
      </c>
      <c r="G107">
        <v>2.7280946899999998</v>
      </c>
      <c r="H107">
        <v>2.6222909684000002</v>
      </c>
    </row>
    <row r="108" spans="1:12" ht="15">
      <c r="A108" s="10">
        <v>45658</v>
      </c>
      <c r="B108" s="68">
        <v>125.417</v>
      </c>
      <c r="C108" s="31">
        <v>85</v>
      </c>
      <c r="D108" s="31">
        <f t="shared" si="1"/>
        <v>2.6073795303935183</v>
      </c>
      <c r="E108">
        <v>85</v>
      </c>
      <c r="F108">
        <v>85</v>
      </c>
      <c r="G108">
        <v>2.6073795299999998</v>
      </c>
      <c r="H108">
        <v>2.6708070075000001</v>
      </c>
      <c r="I108" t="s">
        <v>182</v>
      </c>
    </row>
    <row r="109" spans="1:12" ht="15">
      <c r="A109" s="10">
        <v>45689</v>
      </c>
      <c r="B109" s="68">
        <v>125.92100000000001</v>
      </c>
      <c r="C109" s="31">
        <v>86</v>
      </c>
      <c r="D109" s="31">
        <f t="shared" si="1"/>
        <v>2.7104846734857073</v>
      </c>
      <c r="E109">
        <v>86</v>
      </c>
      <c r="F109">
        <v>86</v>
      </c>
      <c r="G109">
        <v>2.7104846729999998</v>
      </c>
      <c r="H109">
        <v>2.7193230466</v>
      </c>
      <c r="I109" t="s">
        <v>184</v>
      </c>
      <c r="J109" t="s">
        <v>185</v>
      </c>
      <c r="K109" t="s">
        <v>186</v>
      </c>
      <c r="L109" t="s">
        <v>187</v>
      </c>
    </row>
    <row r="110" spans="1:12" ht="15">
      <c r="A110" s="50">
        <v>45717</v>
      </c>
      <c r="B110" s="68">
        <v>125.941</v>
      </c>
      <c r="C110" s="52">
        <v>87</v>
      </c>
      <c r="D110" s="52">
        <f t="shared" si="1"/>
        <v>2.3594336708984263</v>
      </c>
      <c r="E110">
        <v>87</v>
      </c>
      <c r="F110">
        <v>87</v>
      </c>
      <c r="G110">
        <v>2.3594336710000001</v>
      </c>
      <c r="H110">
        <v>2.3352333570999999</v>
      </c>
      <c r="I110" t="s">
        <v>188</v>
      </c>
      <c r="J110">
        <v>29</v>
      </c>
      <c r="K110">
        <v>30.211854796400001</v>
      </c>
      <c r="L110">
        <v>1.0417880963999999</v>
      </c>
    </row>
    <row r="111" spans="1:12" ht="15">
      <c r="A111" s="10">
        <v>45748</v>
      </c>
      <c r="B111" s="68">
        <v>126.15</v>
      </c>
      <c r="C111" s="31">
        <v>88</v>
      </c>
      <c r="D111" s="31">
        <f t="shared" si="1"/>
        <v>2.2774259978433871</v>
      </c>
      <c r="E111">
        <v>88</v>
      </c>
      <c r="F111">
        <v>88</v>
      </c>
      <c r="G111">
        <v>2.277425998</v>
      </c>
      <c r="H111">
        <v>2.4000069683</v>
      </c>
      <c r="I111" t="s">
        <v>189</v>
      </c>
      <c r="J111">
        <v>66</v>
      </c>
      <c r="K111">
        <v>2.0404929912999998</v>
      </c>
      <c r="L111">
        <v>3.0916560499999999E-2</v>
      </c>
    </row>
    <row r="112" spans="1:12" ht="15">
      <c r="A112" s="10">
        <v>45778</v>
      </c>
      <c r="B112" s="68">
        <v>126.38</v>
      </c>
      <c r="C112" s="31">
        <v>89</v>
      </c>
      <c r="D112" s="31">
        <f t="shared" si="1"/>
        <v>2.4580860654408636</v>
      </c>
      <c r="E112">
        <v>89</v>
      </c>
      <c r="F112">
        <v>89</v>
      </c>
      <c r="G112">
        <v>2.4580860649999998</v>
      </c>
      <c r="H112">
        <v>2.4647805794000002</v>
      </c>
      <c r="I112" t="s">
        <v>190</v>
      </c>
      <c r="J112">
        <v>95</v>
      </c>
      <c r="K112">
        <v>297.51550196540001</v>
      </c>
    </row>
    <row r="113" spans="1:11" ht="15">
      <c r="A113" s="10">
        <v>45809</v>
      </c>
      <c r="B113" s="68">
        <v>126.74299999999999</v>
      </c>
      <c r="C113" s="31">
        <v>90</v>
      </c>
      <c r="D113" s="31">
        <f t="shared" si="1"/>
        <v>2.5935129797068082</v>
      </c>
      <c r="E113">
        <v>90</v>
      </c>
      <c r="F113">
        <v>90</v>
      </c>
      <c r="G113">
        <v>2.5935129799999999</v>
      </c>
      <c r="H113">
        <v>2.5295541904999999</v>
      </c>
      <c r="I113" t="s">
        <v>456</v>
      </c>
    </row>
    <row r="114" spans="1:11" ht="15">
      <c r="A114" s="10">
        <v>45839</v>
      </c>
      <c r="B114" s="68">
        <v>126.96</v>
      </c>
      <c r="C114" s="31">
        <v>91</v>
      </c>
      <c r="D114" s="31">
        <f t="shared" si="1"/>
        <v>2.6055472942393396</v>
      </c>
      <c r="E114">
        <v>91</v>
      </c>
      <c r="F114">
        <v>91</v>
      </c>
      <c r="G114">
        <v>2.605547294</v>
      </c>
      <c r="H114">
        <v>2.5943278016</v>
      </c>
    </row>
    <row r="115" spans="1:11" ht="15">
      <c r="A115" s="10">
        <v>45870</v>
      </c>
      <c r="B115" s="68">
        <v>127.29300000000001</v>
      </c>
      <c r="C115" s="31">
        <v>92</v>
      </c>
      <c r="D115" s="31">
        <f t="shared" si="1"/>
        <v>2.7476208541517089</v>
      </c>
      <c r="E115">
        <v>92</v>
      </c>
      <c r="F115">
        <v>92</v>
      </c>
      <c r="G115">
        <v>2.747620854</v>
      </c>
      <c r="H115">
        <v>2.6591014128000001</v>
      </c>
      <c r="K115">
        <f>1-(K111/K112)</f>
        <v>0.99314155740517585</v>
      </c>
    </row>
    <row r="116" spans="1:11" ht="15">
      <c r="A116" s="10">
        <v>45901</v>
      </c>
      <c r="B116" s="68">
        <v>127.625</v>
      </c>
      <c r="C116" s="31">
        <v>93</v>
      </c>
      <c r="D116" s="31">
        <f t="shared" si="1"/>
        <v>2.7874424148706538</v>
      </c>
      <c r="E116">
        <v>93</v>
      </c>
      <c r="F116">
        <v>93</v>
      </c>
      <c r="G116">
        <v>2.7874424150000001</v>
      </c>
      <c r="H116">
        <v>2.7238750238999998</v>
      </c>
    </row>
    <row r="117" spans="1:11" ht="15">
      <c r="A117" s="10">
        <v>45931</v>
      </c>
      <c r="B117" s="68">
        <v>127.879</v>
      </c>
      <c r="C117" s="31">
        <v>94</v>
      </c>
      <c r="D117" s="31">
        <f t="shared" si="1"/>
        <v>2.7190065384677213</v>
      </c>
      <c r="E117">
        <v>94</v>
      </c>
      <c r="F117">
        <v>94</v>
      </c>
      <c r="G117">
        <v>2.7190065379999999</v>
      </c>
      <c r="H117">
        <v>2.7886486349999999</v>
      </c>
    </row>
    <row r="118" spans="1:11" ht="15">
      <c r="A118" s="10">
        <v>45962</v>
      </c>
      <c r="B118" s="68">
        <v>128.149</v>
      </c>
      <c r="C118" s="31">
        <v>95</v>
      </c>
      <c r="D118" s="31">
        <f t="shared" si="1"/>
        <v>2.8177828413713426</v>
      </c>
      <c r="E118">
        <v>95</v>
      </c>
      <c r="F118">
        <v>95</v>
      </c>
      <c r="G118">
        <v>2.8177828410000001</v>
      </c>
      <c r="H118">
        <v>2.8534222461000001</v>
      </c>
    </row>
    <row r="119" spans="1:11" ht="15">
      <c r="A119" s="10">
        <v>45992</v>
      </c>
      <c r="B119" s="68">
        <v>128.60499999999999</v>
      </c>
      <c r="C119" s="31">
        <v>96</v>
      </c>
      <c r="D119" s="31">
        <f t="shared" ref="D119" si="2">100*(B119-B107)/B107</f>
        <v>2.9012874162859283</v>
      </c>
      <c r="E119">
        <v>96</v>
      </c>
      <c r="F119">
        <v>96</v>
      </c>
      <c r="G119">
        <v>2.9012874160000002</v>
      </c>
      <c r="H119">
        <v>2.9181958573000002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2DB0-FB7D-4C91-89B7-ED4553684E56}">
  <dimension ref="A1:L118"/>
  <sheetViews>
    <sheetView topLeftCell="A92" workbookViewId="0">
      <selection activeCell="K115" sqref="K115"/>
    </sheetView>
  </sheetViews>
  <sheetFormatPr defaultRowHeight="13.2"/>
  <cols>
    <col min="1" max="1" width="11.109375" customWidth="1"/>
    <col min="3" max="3" width="4.5546875" customWidth="1"/>
    <col min="5" max="6" width="3.5546875" bestFit="1" customWidth="1"/>
  </cols>
  <sheetData>
    <row r="1" spans="1:3" s="38" customFormat="1">
      <c r="A1" s="38" t="s">
        <v>0</v>
      </c>
    </row>
    <row r="2" spans="1:3" s="38" customFormat="1">
      <c r="A2" s="38" t="s">
        <v>302</v>
      </c>
    </row>
    <row r="3" spans="1:3" s="38" customFormat="1">
      <c r="A3" s="38" t="s">
        <v>2</v>
      </c>
    </row>
    <row r="4" spans="1:3" s="38" customFormat="1">
      <c r="A4" s="38" t="s">
        <v>3</v>
      </c>
    </row>
    <row r="5" spans="1:3" s="38" customFormat="1">
      <c r="A5" s="38" t="s">
        <v>303</v>
      </c>
    </row>
    <row r="6" spans="1:3" s="38" customFormat="1">
      <c r="A6" s="38" t="s">
        <v>440</v>
      </c>
    </row>
    <row r="7" spans="1:3" s="38" customFormat="1"/>
    <row r="8" spans="1:3" s="38" customFormat="1">
      <c r="A8" s="38" t="s">
        <v>6</v>
      </c>
      <c r="B8" s="38" t="s">
        <v>7</v>
      </c>
      <c r="C8" s="38" t="s">
        <v>441</v>
      </c>
    </row>
    <row r="11" spans="1:3" ht="15">
      <c r="A11" s="46" t="s">
        <v>9</v>
      </c>
      <c r="B11" s="46" t="s">
        <v>6</v>
      </c>
    </row>
    <row r="12" spans="1:3">
      <c r="A12" s="32">
        <v>42736</v>
      </c>
      <c r="B12" s="33">
        <v>99.450999999999993</v>
      </c>
    </row>
    <row r="13" spans="1:3">
      <c r="A13" s="32">
        <v>42767</v>
      </c>
      <c r="B13" s="33">
        <v>99.585999999999999</v>
      </c>
    </row>
    <row r="14" spans="1:3">
      <c r="A14" s="32">
        <v>42795</v>
      </c>
      <c r="B14" s="33">
        <v>99.534999999999997</v>
      </c>
    </row>
    <row r="15" spans="1:3">
      <c r="A15" s="32">
        <v>42826</v>
      </c>
      <c r="B15" s="33">
        <v>99.724999999999994</v>
      </c>
    </row>
    <row r="16" spans="1:3">
      <c r="A16" s="32">
        <v>42856</v>
      </c>
      <c r="B16" s="33">
        <v>99.682000000000002</v>
      </c>
    </row>
    <row r="17" spans="1:9">
      <c r="A17" s="32">
        <v>42887</v>
      </c>
      <c r="B17" s="33">
        <v>99.766000000000005</v>
      </c>
    </row>
    <row r="18" spans="1:9">
      <c r="A18" s="32">
        <v>42917</v>
      </c>
      <c r="B18" s="33">
        <v>99.802999999999997</v>
      </c>
    </row>
    <row r="19" spans="1:9">
      <c r="A19" s="32">
        <v>42948</v>
      </c>
      <c r="B19" s="33">
        <v>100.027</v>
      </c>
    </row>
    <row r="20" spans="1:9">
      <c r="A20" s="32">
        <v>42979</v>
      </c>
      <c r="B20" s="33">
        <v>100.4</v>
      </c>
    </row>
    <row r="21" spans="1:9">
      <c r="A21" s="32">
        <v>43009</v>
      </c>
      <c r="B21" s="33">
        <v>100.53100000000001</v>
      </c>
    </row>
    <row r="22" spans="1:9">
      <c r="A22" s="32">
        <v>43040</v>
      </c>
      <c r="B22" s="33">
        <v>100.675</v>
      </c>
    </row>
    <row r="23" spans="1:9" ht="13.8">
      <c r="A23" s="32">
        <v>43070</v>
      </c>
      <c r="B23" s="33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10">
        <v>43101</v>
      </c>
      <c r="B24" s="33">
        <v>101.199</v>
      </c>
      <c r="C24" s="31">
        <v>1</v>
      </c>
      <c r="D24" s="31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>
      <c r="A25" s="10">
        <v>43132</v>
      </c>
      <c r="B25" s="33">
        <v>101.416</v>
      </c>
      <c r="C25" s="31">
        <v>2</v>
      </c>
      <c r="D25" s="31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442</v>
      </c>
    </row>
    <row r="26" spans="1:9">
      <c r="A26" s="10">
        <v>43160</v>
      </c>
      <c r="B26" s="33">
        <v>101.524</v>
      </c>
      <c r="C26" s="31">
        <v>3</v>
      </c>
      <c r="D26" s="31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10">
        <v>43191</v>
      </c>
      <c r="B27" s="33">
        <v>101.76600000000001</v>
      </c>
      <c r="C27" s="31">
        <v>4</v>
      </c>
      <c r="D27" s="31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10">
        <v>43221</v>
      </c>
      <c r="B28" s="33">
        <v>101.941</v>
      </c>
      <c r="C28" s="31">
        <v>5</v>
      </c>
      <c r="D28" s="31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16">
        <v>43252</v>
      </c>
      <c r="B29" s="33">
        <v>102.029</v>
      </c>
      <c r="C29" s="31">
        <v>6</v>
      </c>
      <c r="D29" s="31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>
      <c r="A30" s="10">
        <v>43282</v>
      </c>
      <c r="B30" s="33">
        <v>102.137</v>
      </c>
      <c r="C30" s="31">
        <v>7</v>
      </c>
      <c r="D30" s="31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10">
        <v>43313</v>
      </c>
      <c r="B31" s="33">
        <v>102.208</v>
      </c>
      <c r="C31" s="31">
        <v>8</v>
      </c>
      <c r="D31" s="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10">
        <v>43344</v>
      </c>
      <c r="B32" s="33">
        <v>102.41800000000001</v>
      </c>
      <c r="C32" s="31">
        <v>9</v>
      </c>
      <c r="D32" s="31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10">
        <v>43374</v>
      </c>
      <c r="B33" s="33">
        <v>102.595</v>
      </c>
      <c r="C33" s="31">
        <v>10</v>
      </c>
      <c r="D33" s="31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10">
        <v>43405</v>
      </c>
      <c r="B34" s="33">
        <v>102.63</v>
      </c>
      <c r="C34" s="31">
        <v>11</v>
      </c>
      <c r="D34" s="31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10">
        <v>43435</v>
      </c>
      <c r="B35" s="33">
        <v>102.70099999999999</v>
      </c>
      <c r="C35" s="31">
        <v>12</v>
      </c>
      <c r="D35" s="31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16">
        <v>43466</v>
      </c>
      <c r="B36" s="33">
        <v>102.648</v>
      </c>
      <c r="C36" s="31">
        <v>13</v>
      </c>
      <c r="D36" s="31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>
      <c r="A37" s="10">
        <v>43497</v>
      </c>
      <c r="B37" s="33">
        <v>102.836</v>
      </c>
      <c r="C37" s="31">
        <v>14</v>
      </c>
      <c r="D37" s="31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>
      <c r="A38" s="10">
        <v>43525</v>
      </c>
      <c r="B38" s="33">
        <v>103.069</v>
      </c>
      <c r="C38" s="31">
        <v>15</v>
      </c>
      <c r="D38" s="31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>
      <c r="A39" s="10">
        <v>43556</v>
      </c>
      <c r="B39" s="33">
        <v>103.36</v>
      </c>
      <c r="C39" s="31">
        <v>16</v>
      </c>
      <c r="D39" s="31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>
      <c r="A40" s="10">
        <v>43586</v>
      </c>
      <c r="B40" s="33">
        <v>103.435</v>
      </c>
      <c r="C40" s="31">
        <v>17</v>
      </c>
      <c r="D40" s="31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>
      <c r="A41" s="16">
        <v>43617</v>
      </c>
      <c r="B41" s="33">
        <v>103.48399999999999</v>
      </c>
      <c r="C41" s="31">
        <v>18</v>
      </c>
      <c r="D41" s="31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>
      <c r="A42" s="10">
        <v>43647</v>
      </c>
      <c r="B42" s="33">
        <v>103.622</v>
      </c>
      <c r="C42" s="31">
        <v>19</v>
      </c>
      <c r="D42" s="31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>
      <c r="A43" s="10">
        <v>43678</v>
      </c>
      <c r="B43" s="33">
        <v>103.67</v>
      </c>
      <c r="C43" s="31">
        <v>20</v>
      </c>
      <c r="D43" s="31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>
      <c r="A44" s="10">
        <v>43709</v>
      </c>
      <c r="B44" s="33">
        <v>103.733</v>
      </c>
      <c r="C44" s="31">
        <v>21</v>
      </c>
      <c r="D44" s="31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>
      <c r="A45" s="10">
        <v>43739</v>
      </c>
      <c r="B45" s="33">
        <v>103.917</v>
      </c>
      <c r="C45" s="31">
        <v>22</v>
      </c>
      <c r="D45" s="31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>
      <c r="A46" s="16">
        <v>43770</v>
      </c>
      <c r="B46" s="33">
        <v>104.024</v>
      </c>
      <c r="C46" s="31">
        <v>23</v>
      </c>
      <c r="D46" s="31">
        <f t="shared" si="0"/>
        <v>1.3582773068303668</v>
      </c>
      <c r="E46">
        <v>23</v>
      </c>
      <c r="F46">
        <v>23</v>
      </c>
      <c r="G46">
        <v>1.358277307</v>
      </c>
      <c r="H46">
        <v>1.7470874236</v>
      </c>
      <c r="I46" t="s">
        <v>223</v>
      </c>
    </row>
    <row r="47" spans="1:9">
      <c r="A47" s="10">
        <v>43800</v>
      </c>
      <c r="B47" s="33">
        <v>104.307</v>
      </c>
      <c r="C47" s="31">
        <v>24</v>
      </c>
      <c r="D47" s="31">
        <f t="shared" si="0"/>
        <v>1.5637627676458932</v>
      </c>
      <c r="E47">
        <v>24</v>
      </c>
      <c r="F47">
        <v>24</v>
      </c>
      <c r="G47">
        <v>1.5637627679999999</v>
      </c>
      <c r="H47">
        <v>1.5794906720999999</v>
      </c>
      <c r="I47" t="s">
        <v>224</v>
      </c>
    </row>
    <row r="48" spans="1:9">
      <c r="A48" s="10">
        <v>43831</v>
      </c>
      <c r="B48" s="33">
        <v>104.49</v>
      </c>
      <c r="C48" s="31">
        <v>25</v>
      </c>
      <c r="D48" s="31">
        <f t="shared" si="0"/>
        <v>1.7944821136310487</v>
      </c>
      <c r="E48">
        <v>25</v>
      </c>
      <c r="F48">
        <v>25</v>
      </c>
      <c r="G48">
        <v>1.794482114</v>
      </c>
      <c r="H48">
        <v>1.4118939205000001</v>
      </c>
      <c r="I48" t="s">
        <v>225</v>
      </c>
    </row>
    <row r="49" spans="1:9">
      <c r="A49" s="10">
        <v>43862</v>
      </c>
      <c r="B49" s="33">
        <v>104.57299999999999</v>
      </c>
      <c r="C49" s="31">
        <v>26</v>
      </c>
      <c r="D49" s="31">
        <f t="shared" si="0"/>
        <v>1.6890972033140095</v>
      </c>
      <c r="E49">
        <v>26</v>
      </c>
      <c r="F49">
        <v>26</v>
      </c>
      <c r="G49">
        <v>1.689097203</v>
      </c>
      <c r="H49">
        <v>1.244297169</v>
      </c>
      <c r="I49" t="s">
        <v>226</v>
      </c>
    </row>
    <row r="50" spans="1:9">
      <c r="A50" s="10">
        <v>43891</v>
      </c>
      <c r="B50" s="33">
        <v>104.271</v>
      </c>
      <c r="C50" s="31">
        <v>27</v>
      </c>
      <c r="D50" s="31">
        <f t="shared" si="0"/>
        <v>1.1662090444265474</v>
      </c>
      <c r="E50">
        <v>27</v>
      </c>
      <c r="F50">
        <v>27</v>
      </c>
      <c r="G50">
        <v>1.1662090439999999</v>
      </c>
      <c r="H50">
        <v>1.0767004174999999</v>
      </c>
      <c r="I50" t="s">
        <v>227</v>
      </c>
    </row>
    <row r="51" spans="1:9">
      <c r="A51" s="10">
        <v>43922</v>
      </c>
      <c r="B51" s="33">
        <v>103.83799999999999</v>
      </c>
      <c r="C51" s="31">
        <v>28</v>
      </c>
      <c r="D51" s="31">
        <f t="shared" si="0"/>
        <v>0.46246130030959215</v>
      </c>
      <c r="E51">
        <v>28</v>
      </c>
      <c r="F51">
        <v>28</v>
      </c>
      <c r="G51">
        <v>0.46246130000000002</v>
      </c>
      <c r="H51">
        <v>0.90910366600000003</v>
      </c>
      <c r="I51" t="s">
        <v>228</v>
      </c>
    </row>
    <row r="52" spans="1:9">
      <c r="A52" s="10">
        <v>43952</v>
      </c>
      <c r="B52" s="33">
        <v>103.94199999999999</v>
      </c>
      <c r="C52" s="31">
        <v>29</v>
      </c>
      <c r="D52" s="31">
        <f t="shared" si="0"/>
        <v>0.49016290423936848</v>
      </c>
      <c r="E52">
        <v>29</v>
      </c>
      <c r="F52">
        <v>29</v>
      </c>
      <c r="G52">
        <v>0.49016290400000001</v>
      </c>
      <c r="H52">
        <v>0.74150691440000005</v>
      </c>
      <c r="I52" t="s">
        <v>229</v>
      </c>
    </row>
    <row r="53" spans="1:9">
      <c r="A53" s="10">
        <v>43983</v>
      </c>
      <c r="B53" s="33">
        <v>104.27</v>
      </c>
      <c r="C53" s="31">
        <v>30</v>
      </c>
      <c r="D53" s="31">
        <f t="shared" si="0"/>
        <v>0.75953770631208828</v>
      </c>
      <c r="E53">
        <v>30</v>
      </c>
      <c r="F53">
        <v>30</v>
      </c>
      <c r="G53">
        <v>0.75953770600000003</v>
      </c>
      <c r="H53">
        <v>0.57391016289999996</v>
      </c>
      <c r="I53" t="s">
        <v>230</v>
      </c>
    </row>
    <row r="54" spans="1:9">
      <c r="A54" s="16">
        <v>44013</v>
      </c>
      <c r="B54" s="33">
        <v>104.578</v>
      </c>
      <c r="C54" s="31">
        <v>31</v>
      </c>
      <c r="D54" s="31">
        <f t="shared" si="0"/>
        <v>0.92258400725714917</v>
      </c>
      <c r="E54">
        <v>31</v>
      </c>
      <c r="F54">
        <v>31</v>
      </c>
      <c r="G54">
        <v>0.92258400699999998</v>
      </c>
      <c r="H54">
        <v>0.94683608340000003</v>
      </c>
      <c r="I54" t="s">
        <v>386</v>
      </c>
    </row>
    <row r="55" spans="1:9">
      <c r="A55" s="10">
        <v>44044</v>
      </c>
      <c r="B55" s="33">
        <v>104.87</v>
      </c>
      <c r="C55" s="31">
        <v>32</v>
      </c>
      <c r="D55" s="31">
        <f t="shared" si="0"/>
        <v>1.1575190508343811</v>
      </c>
      <c r="E55">
        <v>32</v>
      </c>
      <c r="F55">
        <v>32</v>
      </c>
      <c r="G55">
        <v>1.157519051</v>
      </c>
      <c r="H55">
        <v>1.0510707502000001</v>
      </c>
      <c r="I55" t="s">
        <v>387</v>
      </c>
    </row>
    <row r="56" spans="1:9">
      <c r="A56" s="10">
        <v>44075</v>
      </c>
      <c r="B56" s="33">
        <v>105.057</v>
      </c>
      <c r="C56" s="31">
        <v>33</v>
      </c>
      <c r="D56" s="31">
        <f t="shared" si="0"/>
        <v>1.2763537157895732</v>
      </c>
      <c r="E56">
        <v>33</v>
      </c>
      <c r="F56">
        <v>33</v>
      </c>
      <c r="G56">
        <v>1.276353716</v>
      </c>
      <c r="H56">
        <v>1.1553054169999999</v>
      </c>
      <c r="I56" t="s">
        <v>388</v>
      </c>
    </row>
    <row r="57" spans="1:9">
      <c r="A57" s="10">
        <v>44105</v>
      </c>
      <c r="B57" s="33">
        <v>105.151</v>
      </c>
      <c r="C57" s="31">
        <v>34</v>
      </c>
      <c r="D57" s="31">
        <f t="shared" si="0"/>
        <v>1.1874861668446881</v>
      </c>
      <c r="E57">
        <v>34</v>
      </c>
      <c r="F57">
        <v>34</v>
      </c>
      <c r="G57">
        <v>1.1874861670000001</v>
      </c>
      <c r="H57">
        <v>1.2595400836999999</v>
      </c>
      <c r="I57" t="s">
        <v>234</v>
      </c>
    </row>
    <row r="58" spans="1:9">
      <c r="A58" s="10">
        <v>44136</v>
      </c>
      <c r="B58" s="33">
        <v>105.258</v>
      </c>
      <c r="C58" s="31">
        <v>35</v>
      </c>
      <c r="D58" s="31">
        <f t="shared" si="0"/>
        <v>1.1862647081442692</v>
      </c>
      <c r="E58">
        <v>35</v>
      </c>
      <c r="F58">
        <v>35</v>
      </c>
      <c r="G58">
        <v>1.1862647079999999</v>
      </c>
      <c r="H58">
        <v>1.3637747505</v>
      </c>
      <c r="I58" t="s">
        <v>109</v>
      </c>
    </row>
    <row r="59" spans="1:9">
      <c r="A59" s="10">
        <v>44166</v>
      </c>
      <c r="B59" s="33">
        <v>105.699</v>
      </c>
      <c r="C59" s="31">
        <v>36</v>
      </c>
      <c r="D59" s="31">
        <f t="shared" si="0"/>
        <v>1.3345221317840565</v>
      </c>
      <c r="E59">
        <v>36</v>
      </c>
      <c r="F59">
        <v>36</v>
      </c>
      <c r="G59">
        <v>1.334522132</v>
      </c>
      <c r="H59">
        <v>1.4680094173</v>
      </c>
      <c r="I59" t="s">
        <v>389</v>
      </c>
    </row>
    <row r="60" spans="1:9">
      <c r="A60" s="10">
        <v>44197</v>
      </c>
      <c r="B60" s="33">
        <v>106.14700000000001</v>
      </c>
      <c r="C60" s="31">
        <v>37</v>
      </c>
      <c r="D60" s="31">
        <f t="shared" si="0"/>
        <v>1.5857976839889087</v>
      </c>
      <c r="E60">
        <v>37</v>
      </c>
      <c r="F60">
        <v>37</v>
      </c>
      <c r="G60">
        <v>1.5857976840000001</v>
      </c>
      <c r="H60">
        <v>1.5722440841</v>
      </c>
      <c r="I60" t="s">
        <v>390</v>
      </c>
    </row>
    <row r="61" spans="1:9">
      <c r="A61" s="10">
        <v>44228</v>
      </c>
      <c r="B61" s="33">
        <v>106.5</v>
      </c>
      <c r="C61" s="31">
        <v>38</v>
      </c>
      <c r="D61" s="31">
        <f t="shared" si="0"/>
        <v>1.8427318715155985</v>
      </c>
      <c r="E61">
        <v>38</v>
      </c>
      <c r="F61">
        <v>38</v>
      </c>
      <c r="G61">
        <v>1.8427318720000001</v>
      </c>
      <c r="H61">
        <v>1.6764787508000001</v>
      </c>
      <c r="I61" t="s">
        <v>391</v>
      </c>
    </row>
    <row r="62" spans="1:9">
      <c r="A62" s="16">
        <v>44256</v>
      </c>
      <c r="B62" s="33">
        <v>107.054</v>
      </c>
      <c r="C62" s="31">
        <v>39</v>
      </c>
      <c r="D62" s="31">
        <f t="shared" si="0"/>
        <v>2.6690067228663783</v>
      </c>
      <c r="E62">
        <v>39</v>
      </c>
      <c r="F62">
        <v>39</v>
      </c>
      <c r="G62">
        <v>2.6690067229999999</v>
      </c>
      <c r="H62">
        <v>2.9773678308</v>
      </c>
      <c r="I62" t="s">
        <v>238</v>
      </c>
    </row>
    <row r="63" spans="1:9">
      <c r="A63" s="10">
        <v>44287</v>
      </c>
      <c r="B63" s="33">
        <v>107.61799999999999</v>
      </c>
      <c r="C63" s="31">
        <v>40</v>
      </c>
      <c r="D63" s="31">
        <f t="shared" si="0"/>
        <v>3.6402858298503453</v>
      </c>
      <c r="E63">
        <v>40</v>
      </c>
      <c r="F63">
        <v>40</v>
      </c>
      <c r="G63">
        <v>3.6402858299999998</v>
      </c>
      <c r="H63">
        <v>3.4047939680999999</v>
      </c>
      <c r="I63" t="s">
        <v>110</v>
      </c>
    </row>
    <row r="64" spans="1:9">
      <c r="A64" s="10">
        <v>44317</v>
      </c>
      <c r="B64" s="33">
        <v>108.175</v>
      </c>
      <c r="C64" s="31">
        <v>41</v>
      </c>
      <c r="D64" s="31">
        <f t="shared" si="0"/>
        <v>4.072463489253626</v>
      </c>
      <c r="E64">
        <v>41</v>
      </c>
      <c r="F64">
        <v>41</v>
      </c>
      <c r="G64">
        <v>4.0724634890000004</v>
      </c>
      <c r="H64">
        <v>3.8322201053999998</v>
      </c>
      <c r="I64" t="s">
        <v>392</v>
      </c>
    </row>
    <row r="65" spans="1:9">
      <c r="A65" s="10">
        <v>44348</v>
      </c>
      <c r="B65" s="33">
        <v>108.76</v>
      </c>
      <c r="C65" s="31">
        <v>42</v>
      </c>
      <c r="D65" s="31">
        <f t="shared" si="0"/>
        <v>4.3061283207058683</v>
      </c>
      <c r="E65">
        <v>42</v>
      </c>
      <c r="F65">
        <v>42</v>
      </c>
      <c r="G65">
        <v>4.3061283210000001</v>
      </c>
      <c r="H65">
        <v>4.2596462426999997</v>
      </c>
      <c r="I65" t="s">
        <v>393</v>
      </c>
    </row>
    <row r="66" spans="1:9">
      <c r="A66" s="10">
        <v>44378</v>
      </c>
      <c r="B66" s="33">
        <v>109.256</v>
      </c>
      <c r="C66" s="31">
        <v>43</v>
      </c>
      <c r="D66" s="31">
        <f t="shared" si="0"/>
        <v>4.4732161640115482</v>
      </c>
      <c r="E66">
        <v>43</v>
      </c>
      <c r="F66">
        <v>43</v>
      </c>
      <c r="G66">
        <v>4.4732161640000001</v>
      </c>
      <c r="H66">
        <v>4.68707238</v>
      </c>
      <c r="I66" t="s">
        <v>394</v>
      </c>
    </row>
    <row r="67" spans="1:9">
      <c r="A67" s="16">
        <v>44409</v>
      </c>
      <c r="B67" s="33">
        <v>109.67400000000001</v>
      </c>
      <c r="C67" s="31">
        <v>44</v>
      </c>
      <c r="D67" s="31">
        <f t="shared" si="0"/>
        <v>4.5809096977209895</v>
      </c>
      <c r="E67">
        <v>44</v>
      </c>
      <c r="F67">
        <v>44</v>
      </c>
      <c r="G67">
        <v>4.5809096980000001</v>
      </c>
      <c r="H67">
        <v>4.4823504152</v>
      </c>
      <c r="I67" t="s">
        <v>242</v>
      </c>
    </row>
    <row r="68" spans="1:9">
      <c r="A68" s="10">
        <v>44440</v>
      </c>
      <c r="B68" s="33">
        <v>110.03400000000001</v>
      </c>
      <c r="C68" s="31">
        <v>45</v>
      </c>
      <c r="D68" s="31">
        <f t="shared" si="0"/>
        <v>4.7374282532339622</v>
      </c>
      <c r="E68">
        <v>45</v>
      </c>
      <c r="F68">
        <v>45</v>
      </c>
      <c r="G68">
        <v>4.737428253</v>
      </c>
      <c r="H68">
        <v>4.9138385435999998</v>
      </c>
      <c r="I68" t="s">
        <v>243</v>
      </c>
    </row>
    <row r="69" spans="1:9">
      <c r="A69" s="10">
        <v>44470</v>
      </c>
      <c r="B69" s="33">
        <v>110.762</v>
      </c>
      <c r="C69" s="31">
        <v>46</v>
      </c>
      <c r="D69" s="31">
        <f t="shared" si="0"/>
        <v>5.3361356525377825</v>
      </c>
      <c r="E69">
        <v>46</v>
      </c>
      <c r="F69">
        <v>46</v>
      </c>
      <c r="G69">
        <v>5.3361356530000004</v>
      </c>
      <c r="H69">
        <v>5.3453266719999997</v>
      </c>
      <c r="I69" t="s">
        <v>395</v>
      </c>
    </row>
    <row r="70" spans="1:9">
      <c r="A70" s="10">
        <v>44501</v>
      </c>
      <c r="B70" s="33">
        <v>111.5</v>
      </c>
      <c r="C70" s="31">
        <v>47</v>
      </c>
      <c r="D70" s="31">
        <f t="shared" si="0"/>
        <v>5.9301905793383929</v>
      </c>
      <c r="E70">
        <v>47</v>
      </c>
      <c r="F70">
        <v>47</v>
      </c>
      <c r="G70">
        <v>5.9301905789999996</v>
      </c>
      <c r="H70">
        <v>5.7768148004000004</v>
      </c>
      <c r="I70" t="s">
        <v>396</v>
      </c>
    </row>
    <row r="71" spans="1:9">
      <c r="A71" s="10">
        <v>44531</v>
      </c>
      <c r="B71" s="33">
        <v>112.191</v>
      </c>
      <c r="C71" s="31">
        <v>48</v>
      </c>
      <c r="D71" s="31">
        <f t="shared" si="0"/>
        <v>6.1419691766241922</v>
      </c>
      <c r="E71">
        <v>48</v>
      </c>
      <c r="F71">
        <v>48</v>
      </c>
      <c r="G71">
        <v>6.141969177</v>
      </c>
      <c r="H71">
        <v>6.2083029288000002</v>
      </c>
      <c r="I71" t="s">
        <v>397</v>
      </c>
    </row>
    <row r="72" spans="1:9">
      <c r="A72" s="16">
        <v>44562</v>
      </c>
      <c r="B72" s="33">
        <v>112.80500000000001</v>
      </c>
      <c r="C72" s="31">
        <v>49</v>
      </c>
      <c r="D72" s="31">
        <f t="shared" si="0"/>
        <v>6.2724335120163559</v>
      </c>
      <c r="E72">
        <v>49</v>
      </c>
      <c r="F72">
        <v>49</v>
      </c>
      <c r="G72">
        <v>6.2724335120000001</v>
      </c>
      <c r="H72">
        <v>6.3616295271999999</v>
      </c>
      <c r="I72" t="s">
        <v>247</v>
      </c>
    </row>
    <row r="73" spans="1:9">
      <c r="A73" s="10">
        <v>44593</v>
      </c>
      <c r="B73" s="33">
        <v>113.471</v>
      </c>
      <c r="C73" s="31">
        <v>50</v>
      </c>
      <c r="D73" s="31">
        <f t="shared" si="0"/>
        <v>6.54553990610329</v>
      </c>
      <c r="E73">
        <v>50</v>
      </c>
      <c r="F73">
        <v>50</v>
      </c>
      <c r="G73">
        <v>6.5455399060000001</v>
      </c>
      <c r="H73">
        <v>6.5147882140000002</v>
      </c>
      <c r="I73" t="s">
        <v>248</v>
      </c>
    </row>
    <row r="74" spans="1:9">
      <c r="A74" s="10">
        <v>44621</v>
      </c>
      <c r="B74" s="33">
        <v>114.46899999999999</v>
      </c>
      <c r="C74" s="31">
        <v>51</v>
      </c>
      <c r="D74" s="31">
        <f t="shared" si="0"/>
        <v>6.9264109701645822</v>
      </c>
      <c r="E74">
        <v>51</v>
      </c>
      <c r="F74">
        <v>51</v>
      </c>
      <c r="G74">
        <v>6.9264109700000001</v>
      </c>
      <c r="H74">
        <v>6.6679469008999996</v>
      </c>
      <c r="I74" t="s">
        <v>398</v>
      </c>
    </row>
    <row r="75" spans="1:9">
      <c r="A75" s="10">
        <v>44652</v>
      </c>
      <c r="B75" s="33">
        <v>114.812</v>
      </c>
      <c r="C75" s="31">
        <v>52</v>
      </c>
      <c r="D75" s="31">
        <f t="shared" si="0"/>
        <v>6.6847553383263056</v>
      </c>
      <c r="E75">
        <v>52</v>
      </c>
      <c r="F75">
        <v>52</v>
      </c>
      <c r="G75">
        <v>6.6847553380000004</v>
      </c>
      <c r="H75">
        <v>6.8211055878</v>
      </c>
      <c r="I75" t="s">
        <v>399</v>
      </c>
    </row>
    <row r="76" spans="1:9">
      <c r="A76" s="10">
        <v>44682</v>
      </c>
      <c r="B76" s="33">
        <v>115.52500000000001</v>
      </c>
      <c r="C76" s="31">
        <v>53</v>
      </c>
      <c r="D76" s="31">
        <f t="shared" si="0"/>
        <v>6.7945458747400131</v>
      </c>
      <c r="E76">
        <v>53</v>
      </c>
      <c r="F76">
        <v>53</v>
      </c>
      <c r="G76">
        <v>6.7945458749999998</v>
      </c>
      <c r="H76">
        <v>6.9742642746000003</v>
      </c>
      <c r="I76" t="s">
        <v>400</v>
      </c>
    </row>
    <row r="77" spans="1:9">
      <c r="A77" s="10">
        <v>44713</v>
      </c>
      <c r="B77" s="33">
        <v>116.63800000000001</v>
      </c>
      <c r="C77" s="31">
        <v>54</v>
      </c>
      <c r="D77" s="31">
        <f t="shared" si="0"/>
        <v>7.2434718646561231</v>
      </c>
      <c r="E77">
        <v>54</v>
      </c>
      <c r="F77">
        <v>54</v>
      </c>
      <c r="G77">
        <v>7.2434718650000001</v>
      </c>
      <c r="H77">
        <v>7.1274229614999998</v>
      </c>
      <c r="I77" t="s">
        <v>252</v>
      </c>
    </row>
    <row r="78" spans="1:9">
      <c r="A78" s="16">
        <v>44743</v>
      </c>
      <c r="B78" s="33">
        <v>116.631</v>
      </c>
      <c r="C78" s="31">
        <v>55</v>
      </c>
      <c r="D78" s="31">
        <f t="shared" si="0"/>
        <v>6.7502013619389327</v>
      </c>
      <c r="E78">
        <v>55</v>
      </c>
      <c r="F78">
        <v>55</v>
      </c>
      <c r="G78">
        <v>6.7502013620000003</v>
      </c>
      <c r="H78">
        <v>6.9469908236000002</v>
      </c>
      <c r="I78" t="s">
        <v>253</v>
      </c>
    </row>
    <row r="79" spans="1:9">
      <c r="A79" s="10">
        <v>44774</v>
      </c>
      <c r="B79" s="33">
        <v>116.956</v>
      </c>
      <c r="C79" s="31">
        <v>56</v>
      </c>
      <c r="D79" s="31">
        <f t="shared" si="0"/>
        <v>6.6396775899483886</v>
      </c>
      <c r="E79">
        <v>56</v>
      </c>
      <c r="F79">
        <v>56</v>
      </c>
      <c r="G79">
        <v>6.6396775899999998</v>
      </c>
      <c r="H79">
        <v>6.7041185396999996</v>
      </c>
      <c r="I79" t="s">
        <v>401</v>
      </c>
    </row>
    <row r="80" spans="1:9">
      <c r="A80" s="10">
        <v>44805</v>
      </c>
      <c r="B80" s="33">
        <v>117.371</v>
      </c>
      <c r="C80" s="31">
        <v>57</v>
      </c>
      <c r="D80" s="31">
        <f t="shared" si="0"/>
        <v>6.6679390006725088</v>
      </c>
      <c r="E80">
        <v>57</v>
      </c>
      <c r="F80">
        <v>57</v>
      </c>
      <c r="G80">
        <v>6.6679390009999997</v>
      </c>
      <c r="H80">
        <v>6.4612462557999999</v>
      </c>
      <c r="I80" t="s">
        <v>402</v>
      </c>
    </row>
    <row r="81" spans="1:9">
      <c r="A81" s="10">
        <v>44835</v>
      </c>
      <c r="B81" s="33">
        <v>117.919</v>
      </c>
      <c r="C81" s="31">
        <v>58</v>
      </c>
      <c r="D81" s="31">
        <f t="shared" si="0"/>
        <v>6.4616023545981438</v>
      </c>
      <c r="E81">
        <v>58</v>
      </c>
      <c r="F81">
        <v>58</v>
      </c>
      <c r="G81">
        <v>6.4616023550000001</v>
      </c>
      <c r="H81">
        <v>6.2183739719000002</v>
      </c>
      <c r="I81" t="s">
        <v>403</v>
      </c>
    </row>
    <row r="82" spans="1:9">
      <c r="A82" s="10">
        <v>44866</v>
      </c>
      <c r="B82" s="33">
        <v>118.224</v>
      </c>
      <c r="C82" s="31">
        <v>59</v>
      </c>
      <c r="D82" s="31">
        <f t="shared" si="0"/>
        <v>6.0304932735426036</v>
      </c>
      <c r="E82">
        <v>59</v>
      </c>
      <c r="F82">
        <v>59</v>
      </c>
      <c r="G82">
        <v>6.0304932740000003</v>
      </c>
      <c r="H82">
        <v>5.9755016880999996</v>
      </c>
      <c r="I82" t="s">
        <v>257</v>
      </c>
    </row>
    <row r="83" spans="1:9">
      <c r="A83" s="10">
        <v>44896</v>
      </c>
      <c r="B83" s="33">
        <v>118.384</v>
      </c>
      <c r="C83" s="31">
        <v>60</v>
      </c>
      <c r="D83" s="31">
        <f t="shared" si="0"/>
        <v>5.520050627946981</v>
      </c>
      <c r="E83">
        <v>60</v>
      </c>
      <c r="F83">
        <v>60</v>
      </c>
      <c r="G83">
        <v>5.5200506279999999</v>
      </c>
      <c r="H83">
        <v>5.7326294041999999</v>
      </c>
      <c r="I83" t="s">
        <v>258</v>
      </c>
    </row>
    <row r="84" spans="1:9">
      <c r="A84" s="10">
        <v>44927</v>
      </c>
      <c r="B84" s="33">
        <v>119.018</v>
      </c>
      <c r="C84" s="31">
        <v>61</v>
      </c>
      <c r="D84" s="31">
        <f t="shared" si="0"/>
        <v>5.5077345862328739</v>
      </c>
      <c r="E84">
        <v>61</v>
      </c>
      <c r="F84">
        <v>61</v>
      </c>
      <c r="G84">
        <v>5.5077345859999998</v>
      </c>
      <c r="H84">
        <v>5.4897571203000002</v>
      </c>
      <c r="I84" t="s">
        <v>404</v>
      </c>
    </row>
    <row r="85" spans="1:9">
      <c r="A85" s="10">
        <v>44958</v>
      </c>
      <c r="B85" s="33">
        <v>119.369</v>
      </c>
      <c r="C85" s="31">
        <v>62</v>
      </c>
      <c r="D85" s="31">
        <f t="shared" si="0"/>
        <v>5.1978038441540093</v>
      </c>
      <c r="E85">
        <v>62</v>
      </c>
      <c r="F85">
        <v>62</v>
      </c>
      <c r="G85">
        <v>5.1978038440000001</v>
      </c>
      <c r="H85">
        <v>5.2468848363999996</v>
      </c>
      <c r="I85" t="s">
        <v>405</v>
      </c>
    </row>
    <row r="86" spans="1:9">
      <c r="A86" s="16">
        <v>44986</v>
      </c>
      <c r="B86" s="33">
        <v>119.538</v>
      </c>
      <c r="C86" s="31">
        <v>63</v>
      </c>
      <c r="D86" s="31">
        <f t="shared" si="0"/>
        <v>4.4282731569245843</v>
      </c>
      <c r="E86">
        <v>63</v>
      </c>
      <c r="F86">
        <v>63</v>
      </c>
      <c r="G86">
        <v>4.4282731569999996</v>
      </c>
      <c r="H86">
        <v>4.5662531303999998</v>
      </c>
      <c r="I86" t="s">
        <v>406</v>
      </c>
    </row>
    <row r="87" spans="1:9">
      <c r="A87" s="10">
        <v>45017</v>
      </c>
      <c r="B87" s="33">
        <v>119.95099999999999</v>
      </c>
      <c r="C87" s="31">
        <v>64</v>
      </c>
      <c r="D87" s="31">
        <f t="shared" si="0"/>
        <v>4.4760129603177337</v>
      </c>
      <c r="E87">
        <v>64</v>
      </c>
      <c r="F87">
        <v>64</v>
      </c>
      <c r="G87">
        <v>4.4760129600000003</v>
      </c>
      <c r="H87">
        <v>4.2432577756000001</v>
      </c>
      <c r="I87" t="s">
        <v>262</v>
      </c>
    </row>
    <row r="88" spans="1:9">
      <c r="A88" s="10">
        <v>45047</v>
      </c>
      <c r="B88" s="33">
        <v>120.15</v>
      </c>
      <c r="C88" s="31">
        <v>65</v>
      </c>
      <c r="D88" s="31">
        <f t="shared" si="0"/>
        <v>4.003462454014282</v>
      </c>
      <c r="E88">
        <v>65</v>
      </c>
      <c r="F88">
        <v>65</v>
      </c>
      <c r="G88">
        <v>4.0034624540000001</v>
      </c>
      <c r="H88">
        <v>3.9202624207999999</v>
      </c>
      <c r="I88" t="s">
        <v>263</v>
      </c>
    </row>
    <row r="89" spans="1:9">
      <c r="A89" s="10">
        <v>45078</v>
      </c>
      <c r="B89" s="33">
        <v>120.46899999999999</v>
      </c>
      <c r="C89" s="31">
        <v>66</v>
      </c>
      <c r="D89" s="31">
        <f t="shared" si="0"/>
        <v>3.2845213395291317</v>
      </c>
      <c r="E89">
        <v>66</v>
      </c>
      <c r="F89">
        <v>66</v>
      </c>
      <c r="G89">
        <v>3.28452134</v>
      </c>
      <c r="H89">
        <v>3.5972670660000001</v>
      </c>
      <c r="I89" t="s">
        <v>407</v>
      </c>
    </row>
    <row r="90" spans="1:9">
      <c r="A90" s="10">
        <v>45108</v>
      </c>
      <c r="B90" s="33">
        <v>120.607</v>
      </c>
      <c r="C90" s="31">
        <v>67</v>
      </c>
      <c r="D90" s="31">
        <f t="shared" ref="D90:D117" si="1">100*(B90-B78)/B78</f>
        <v>3.4090421928989714</v>
      </c>
      <c r="E90">
        <v>67</v>
      </c>
      <c r="F90">
        <v>67</v>
      </c>
      <c r="G90">
        <v>3.4090421929999999</v>
      </c>
      <c r="H90">
        <v>3.2742717111999999</v>
      </c>
      <c r="I90" t="s">
        <v>408</v>
      </c>
    </row>
    <row r="91" spans="1:9">
      <c r="A91" s="16">
        <v>45139</v>
      </c>
      <c r="B91" s="33">
        <v>120.97</v>
      </c>
      <c r="C91" s="31">
        <v>68</v>
      </c>
      <c r="D91" s="31">
        <f t="shared" si="1"/>
        <v>3.4320599199698996</v>
      </c>
      <c r="E91">
        <v>68</v>
      </c>
      <c r="F91">
        <v>68</v>
      </c>
      <c r="G91">
        <v>3.4320599199999999</v>
      </c>
      <c r="H91">
        <v>3.4899922596000001</v>
      </c>
      <c r="I91" t="s">
        <v>409</v>
      </c>
    </row>
    <row r="92" spans="1:9">
      <c r="A92" s="10">
        <v>45170</v>
      </c>
      <c r="B92" s="33">
        <v>121.419</v>
      </c>
      <c r="C92" s="31">
        <v>69</v>
      </c>
      <c r="D92" s="31">
        <f t="shared" si="1"/>
        <v>3.448892827018601</v>
      </c>
      <c r="E92">
        <v>69</v>
      </c>
      <c r="F92">
        <v>69</v>
      </c>
      <c r="G92">
        <v>3.4488928269999999</v>
      </c>
      <c r="H92">
        <v>3.2886531622000001</v>
      </c>
      <c r="I92" t="s">
        <v>273</v>
      </c>
    </row>
    <row r="93" spans="1:9">
      <c r="A93" s="10">
        <v>45200</v>
      </c>
      <c r="B93" s="33">
        <v>121.48399999999999</v>
      </c>
      <c r="C93" s="31">
        <v>70</v>
      </c>
      <c r="D93" s="31">
        <f t="shared" si="1"/>
        <v>3.0232617305099243</v>
      </c>
      <c r="E93">
        <v>70</v>
      </c>
      <c r="F93">
        <v>70</v>
      </c>
      <c r="G93">
        <v>3.0232617309999998</v>
      </c>
      <c r="H93">
        <v>3.0873140648000001</v>
      </c>
      <c r="I93" t="s">
        <v>274</v>
      </c>
    </row>
    <row r="94" spans="1:9">
      <c r="A94" s="10">
        <v>45231</v>
      </c>
      <c r="B94" s="33">
        <v>121.49299999999999</v>
      </c>
      <c r="C94" s="31">
        <v>71</v>
      </c>
      <c r="D94" s="31">
        <f t="shared" si="1"/>
        <v>2.7650899986466295</v>
      </c>
      <c r="E94">
        <v>71</v>
      </c>
      <c r="F94">
        <v>71</v>
      </c>
      <c r="G94">
        <v>2.7650899990000002</v>
      </c>
      <c r="H94">
        <v>2.8859749674000001</v>
      </c>
      <c r="I94" t="s">
        <v>410</v>
      </c>
    </row>
    <row r="95" spans="1:9">
      <c r="A95" s="10">
        <v>45261</v>
      </c>
      <c r="B95" s="33">
        <v>121.66</v>
      </c>
      <c r="C95" s="31">
        <v>72</v>
      </c>
      <c r="D95" s="31">
        <f t="shared" si="1"/>
        <v>2.7672658467360423</v>
      </c>
      <c r="E95">
        <v>72</v>
      </c>
      <c r="F95">
        <v>72</v>
      </c>
      <c r="G95">
        <v>2.767265847</v>
      </c>
      <c r="H95">
        <v>2.6846358700000001</v>
      </c>
      <c r="I95" t="s">
        <v>411</v>
      </c>
    </row>
    <row r="96" spans="1:9">
      <c r="A96" s="16">
        <v>45292</v>
      </c>
      <c r="B96" s="33">
        <v>122.23</v>
      </c>
      <c r="C96" s="14">
        <v>73</v>
      </c>
      <c r="D96" s="14">
        <f t="shared" si="1"/>
        <v>2.6987514493606035</v>
      </c>
      <c r="E96">
        <v>73</v>
      </c>
      <c r="F96">
        <v>73</v>
      </c>
      <c r="G96">
        <v>2.698751449</v>
      </c>
      <c r="H96">
        <v>2.8644340452999999</v>
      </c>
      <c r="I96" t="s">
        <v>412</v>
      </c>
    </row>
    <row r="97" spans="1:12">
      <c r="A97" s="10">
        <v>45323</v>
      </c>
      <c r="B97" s="33">
        <v>122.598</v>
      </c>
      <c r="C97" s="31">
        <v>74</v>
      </c>
      <c r="D97" s="31">
        <f t="shared" si="1"/>
        <v>2.7050574269701508</v>
      </c>
      <c r="E97">
        <v>74</v>
      </c>
      <c r="F97">
        <v>74</v>
      </c>
      <c r="G97">
        <v>2.7050574269999998</v>
      </c>
      <c r="H97">
        <v>2.8048834963</v>
      </c>
      <c r="I97" t="s">
        <v>339</v>
      </c>
    </row>
    <row r="98" spans="1:12">
      <c r="A98" s="10">
        <v>45352</v>
      </c>
      <c r="B98" s="33">
        <v>123.038</v>
      </c>
      <c r="C98" s="31">
        <v>75</v>
      </c>
      <c r="D98" s="31">
        <f t="shared" si="1"/>
        <v>2.9279392327126104</v>
      </c>
      <c r="E98">
        <v>75</v>
      </c>
      <c r="F98">
        <v>75</v>
      </c>
      <c r="G98">
        <v>2.927939233</v>
      </c>
      <c r="H98">
        <v>2.7453329472000001</v>
      </c>
      <c r="I98" t="s">
        <v>340</v>
      </c>
    </row>
    <row r="99" spans="1:12">
      <c r="A99" s="10">
        <v>45383</v>
      </c>
      <c r="B99" s="33">
        <v>123.34099999999999</v>
      </c>
      <c r="C99" s="31">
        <v>76</v>
      </c>
      <c r="D99" s="31">
        <f t="shared" si="1"/>
        <v>2.8261540128885967</v>
      </c>
      <c r="E99">
        <v>76</v>
      </c>
      <c r="F99">
        <v>76</v>
      </c>
      <c r="G99">
        <v>2.826154013</v>
      </c>
      <c r="H99">
        <v>2.6857823982000002</v>
      </c>
      <c r="I99" t="s">
        <v>413</v>
      </c>
    </row>
    <row r="100" spans="1:12">
      <c r="A100" s="10">
        <v>45413</v>
      </c>
      <c r="B100" s="33">
        <v>123.348</v>
      </c>
      <c r="C100" s="31">
        <v>77</v>
      </c>
      <c r="D100" s="31">
        <f t="shared" si="1"/>
        <v>2.6616729088639146</v>
      </c>
      <c r="E100">
        <v>77</v>
      </c>
      <c r="F100">
        <v>77</v>
      </c>
      <c r="G100">
        <v>2.661672909</v>
      </c>
      <c r="H100">
        <v>2.6262318490999998</v>
      </c>
      <c r="I100" t="s">
        <v>414</v>
      </c>
    </row>
    <row r="101" spans="1:12">
      <c r="A101" s="10">
        <v>45444</v>
      </c>
      <c r="B101" s="33">
        <v>123.539</v>
      </c>
      <c r="C101" s="31">
        <v>78</v>
      </c>
      <c r="D101" s="31">
        <f t="shared" si="1"/>
        <v>2.5483734404701686</v>
      </c>
      <c r="E101">
        <v>78</v>
      </c>
      <c r="F101">
        <v>78</v>
      </c>
      <c r="G101">
        <v>2.5483734400000002</v>
      </c>
      <c r="H101">
        <v>2.5666813001</v>
      </c>
      <c r="I101" t="s">
        <v>415</v>
      </c>
    </row>
    <row r="102" spans="1:12">
      <c r="A102" s="10">
        <v>45474</v>
      </c>
      <c r="B102" s="33">
        <v>123.736</v>
      </c>
      <c r="C102" s="31">
        <v>79</v>
      </c>
      <c r="D102" s="31">
        <f t="shared" si="1"/>
        <v>2.5943767774673154</v>
      </c>
      <c r="E102">
        <v>79</v>
      </c>
      <c r="F102">
        <v>79</v>
      </c>
      <c r="G102">
        <v>2.5943767769999999</v>
      </c>
      <c r="H102">
        <v>2.507130751</v>
      </c>
      <c r="I102" t="s">
        <v>443</v>
      </c>
    </row>
    <row r="103" spans="1:12">
      <c r="A103" s="10">
        <v>45505</v>
      </c>
      <c r="B103" s="33">
        <v>123.889</v>
      </c>
      <c r="C103" s="31">
        <v>80</v>
      </c>
      <c r="D103" s="31">
        <f t="shared" si="1"/>
        <v>2.412994957427459</v>
      </c>
      <c r="E103">
        <v>80</v>
      </c>
      <c r="F103">
        <v>80</v>
      </c>
      <c r="G103">
        <v>2.412994957</v>
      </c>
      <c r="H103">
        <v>2.4475802020000001</v>
      </c>
      <c r="I103" t="s">
        <v>444</v>
      </c>
    </row>
    <row r="104" spans="1:12">
      <c r="A104" s="10">
        <v>45536</v>
      </c>
      <c r="B104" s="33">
        <v>124.164</v>
      </c>
      <c r="C104" s="31">
        <v>81</v>
      </c>
      <c r="D104" s="31">
        <f t="shared" si="1"/>
        <v>2.2607664368838525</v>
      </c>
      <c r="E104">
        <v>81</v>
      </c>
      <c r="F104">
        <v>81</v>
      </c>
      <c r="G104">
        <v>2.260766437</v>
      </c>
      <c r="H104">
        <v>2.3880296528999998</v>
      </c>
      <c r="I104" t="s">
        <v>445</v>
      </c>
    </row>
    <row r="105" spans="1:12">
      <c r="A105" s="16">
        <v>45566</v>
      </c>
      <c r="B105" s="33">
        <v>124.494</v>
      </c>
      <c r="C105" s="14">
        <v>82</v>
      </c>
      <c r="D105" s="14">
        <f t="shared" si="1"/>
        <v>2.4776925356425581</v>
      </c>
      <c r="E105">
        <v>82</v>
      </c>
      <c r="F105">
        <v>82</v>
      </c>
      <c r="G105">
        <v>2.4776925360000002</v>
      </c>
      <c r="H105">
        <v>2.5252588901999999</v>
      </c>
      <c r="I105" t="s">
        <v>446</v>
      </c>
    </row>
    <row r="106" spans="1:12">
      <c r="A106" s="10">
        <v>45597</v>
      </c>
      <c r="B106" s="33">
        <v>124.637</v>
      </c>
      <c r="C106" s="31">
        <v>83</v>
      </c>
      <c r="D106" s="31">
        <f t="shared" si="1"/>
        <v>2.5878034125422911</v>
      </c>
      <c r="E106">
        <v>83</v>
      </c>
      <c r="F106">
        <v>83</v>
      </c>
      <c r="G106">
        <v>2.5878034130000001</v>
      </c>
      <c r="H106">
        <v>2.5737749292999998</v>
      </c>
      <c r="I106" t="s">
        <v>447</v>
      </c>
    </row>
    <row r="107" spans="1:12">
      <c r="A107" s="10">
        <v>45627</v>
      </c>
      <c r="B107" s="33">
        <v>124.979</v>
      </c>
      <c r="C107" s="31">
        <v>84</v>
      </c>
      <c r="D107" s="31">
        <f t="shared" si="1"/>
        <v>2.7280946901200087</v>
      </c>
      <c r="E107">
        <v>84</v>
      </c>
      <c r="F107">
        <v>84</v>
      </c>
      <c r="G107">
        <v>2.7280946899999998</v>
      </c>
      <c r="H107">
        <v>2.6222909684000002</v>
      </c>
    </row>
    <row r="108" spans="1:12">
      <c r="A108" s="10">
        <v>45658</v>
      </c>
      <c r="B108" s="33">
        <v>125.417</v>
      </c>
      <c r="C108" s="31">
        <v>85</v>
      </c>
      <c r="D108" s="31">
        <f t="shared" si="1"/>
        <v>2.6073795303935183</v>
      </c>
      <c r="E108">
        <v>85</v>
      </c>
      <c r="F108">
        <v>85</v>
      </c>
      <c r="G108">
        <v>2.6073795299999998</v>
      </c>
      <c r="H108">
        <v>2.6708070075000001</v>
      </c>
      <c r="I108" t="s">
        <v>182</v>
      </c>
    </row>
    <row r="109" spans="1:12">
      <c r="A109" s="10">
        <v>45689</v>
      </c>
      <c r="B109" s="33">
        <v>125.92100000000001</v>
      </c>
      <c r="C109" s="31">
        <v>86</v>
      </c>
      <c r="D109" s="31">
        <f t="shared" si="1"/>
        <v>2.7104846734857073</v>
      </c>
      <c r="E109">
        <v>86</v>
      </c>
      <c r="F109">
        <v>86</v>
      </c>
      <c r="G109">
        <v>2.7104846729999998</v>
      </c>
      <c r="H109">
        <v>2.7193230466</v>
      </c>
      <c r="I109" t="s">
        <v>184</v>
      </c>
      <c r="J109" t="s">
        <v>185</v>
      </c>
      <c r="K109" t="s">
        <v>186</v>
      </c>
      <c r="L109" t="s">
        <v>187</v>
      </c>
    </row>
    <row r="110" spans="1:12">
      <c r="A110" s="50">
        <v>45717</v>
      </c>
      <c r="B110" s="33">
        <v>125.941</v>
      </c>
      <c r="C110" s="52">
        <v>87</v>
      </c>
      <c r="D110" s="52">
        <f t="shared" si="1"/>
        <v>2.3594336708984263</v>
      </c>
      <c r="E110">
        <v>87</v>
      </c>
      <c r="F110">
        <v>87</v>
      </c>
      <c r="G110">
        <v>2.3594336710000001</v>
      </c>
      <c r="H110">
        <v>2.3421065182</v>
      </c>
      <c r="I110" t="s">
        <v>188</v>
      </c>
      <c r="J110">
        <v>29</v>
      </c>
      <c r="K110">
        <v>31.286382306899998</v>
      </c>
      <c r="L110">
        <v>1.0788407691999999</v>
      </c>
    </row>
    <row r="111" spans="1:12">
      <c r="A111" s="10">
        <v>45748</v>
      </c>
      <c r="B111" s="33">
        <v>126.15</v>
      </c>
      <c r="C111" s="31">
        <v>88</v>
      </c>
      <c r="D111" s="31">
        <f t="shared" si="1"/>
        <v>2.2774259978433871</v>
      </c>
      <c r="E111">
        <v>88</v>
      </c>
      <c r="F111">
        <v>88</v>
      </c>
      <c r="G111">
        <v>2.277425998</v>
      </c>
      <c r="H111">
        <v>2.4032455095</v>
      </c>
      <c r="I111" t="s">
        <v>189</v>
      </c>
      <c r="J111">
        <v>65</v>
      </c>
      <c r="K111">
        <v>2.0514910847999999</v>
      </c>
      <c r="L111">
        <v>3.15614013E-2</v>
      </c>
    </row>
    <row r="112" spans="1:12">
      <c r="A112" s="10">
        <v>45778</v>
      </c>
      <c r="B112" s="33">
        <v>126.38</v>
      </c>
      <c r="C112" s="31">
        <v>89</v>
      </c>
      <c r="D112" s="31">
        <f t="shared" si="1"/>
        <v>2.4580860654408636</v>
      </c>
      <c r="E112">
        <v>89</v>
      </c>
      <c r="F112">
        <v>89</v>
      </c>
      <c r="G112">
        <v>2.4580860649999998</v>
      </c>
      <c r="H112">
        <v>2.4643845007</v>
      </c>
      <c r="I112" t="s">
        <v>190</v>
      </c>
      <c r="J112">
        <v>94</v>
      </c>
      <c r="K112">
        <v>297.54624944250003</v>
      </c>
    </row>
    <row r="113" spans="1:11">
      <c r="A113" s="10">
        <v>45809</v>
      </c>
      <c r="B113" s="33">
        <v>126.74299999999999</v>
      </c>
      <c r="C113" s="31">
        <v>90</v>
      </c>
      <c r="D113" s="31">
        <f t="shared" si="1"/>
        <v>2.5935129797068082</v>
      </c>
      <c r="E113">
        <v>90</v>
      </c>
      <c r="F113">
        <v>90</v>
      </c>
      <c r="G113">
        <v>2.5935129799999999</v>
      </c>
      <c r="H113">
        <v>2.525523492</v>
      </c>
      <c r="I113" t="s">
        <v>448</v>
      </c>
    </row>
    <row r="114" spans="1:11">
      <c r="A114" s="10">
        <v>45839</v>
      </c>
      <c r="B114" s="33">
        <v>126.96</v>
      </c>
      <c r="C114" s="31">
        <v>91</v>
      </c>
      <c r="D114" s="31">
        <f t="shared" si="1"/>
        <v>2.6055472942393396</v>
      </c>
      <c r="E114">
        <v>91</v>
      </c>
      <c r="F114">
        <v>91</v>
      </c>
      <c r="G114">
        <v>2.605547294</v>
      </c>
      <c r="H114">
        <v>2.5866624832</v>
      </c>
    </row>
    <row r="115" spans="1:11">
      <c r="A115" s="10">
        <v>45870</v>
      </c>
      <c r="B115" s="33">
        <v>127.29300000000001</v>
      </c>
      <c r="C115" s="31">
        <v>92</v>
      </c>
      <c r="D115" s="31">
        <f t="shared" si="1"/>
        <v>2.7476208541517089</v>
      </c>
      <c r="E115">
        <v>92</v>
      </c>
      <c r="F115">
        <v>92</v>
      </c>
      <c r="G115">
        <v>2.747620854</v>
      </c>
      <c r="H115">
        <v>2.6478014745</v>
      </c>
      <c r="K115" s="31">
        <f>1-(K111/K112)</f>
        <v>0.99310530349939286</v>
      </c>
    </row>
    <row r="116" spans="1:11">
      <c r="A116" s="10">
        <v>45901</v>
      </c>
      <c r="B116" s="33">
        <v>127.625</v>
      </c>
      <c r="C116" s="31">
        <v>93</v>
      </c>
      <c r="D116" s="31">
        <f t="shared" si="1"/>
        <v>2.7874424148706538</v>
      </c>
      <c r="E116">
        <v>93</v>
      </c>
      <c r="F116">
        <v>93</v>
      </c>
      <c r="G116">
        <v>2.7874424150000001</v>
      </c>
      <c r="H116">
        <v>2.7089404657</v>
      </c>
    </row>
    <row r="117" spans="1:11">
      <c r="A117" s="10">
        <v>45931</v>
      </c>
      <c r="B117" s="33">
        <v>127.828</v>
      </c>
      <c r="C117" s="31">
        <v>94</v>
      </c>
      <c r="D117" s="31">
        <f t="shared" si="1"/>
        <v>2.6780407087891813</v>
      </c>
      <c r="E117">
        <v>94</v>
      </c>
      <c r="F117">
        <v>94</v>
      </c>
      <c r="G117">
        <v>2.6780407089999998</v>
      </c>
      <c r="H117">
        <v>2.770079457</v>
      </c>
    </row>
    <row r="118" spans="1:11">
      <c r="A118" s="10">
        <v>45962</v>
      </c>
      <c r="B118" s="33">
        <v>128.09299999999999</v>
      </c>
      <c r="C118" s="31">
        <v>95</v>
      </c>
      <c r="D118" s="31">
        <f t="shared" ref="D118" si="2">100*(B118-B106)/B106</f>
        <v>2.7728523632629067</v>
      </c>
      <c r="E118">
        <v>95</v>
      </c>
      <c r="F118">
        <v>95</v>
      </c>
      <c r="G118">
        <v>2.7728523630000002</v>
      </c>
      <c r="H118">
        <v>2.8312184482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633C-88DF-4073-9A46-C9B06A5B61E4}">
  <dimension ref="A1:X116"/>
  <sheetViews>
    <sheetView topLeftCell="A101" workbookViewId="0">
      <selection activeCell="K115" sqref="K115"/>
    </sheetView>
  </sheetViews>
  <sheetFormatPr defaultRowHeight="13.2"/>
  <cols>
    <col min="1" max="1" width="10.5546875" customWidth="1"/>
    <col min="2" max="2" width="8.88671875" hidden="1" customWidth="1"/>
    <col min="3" max="3" width="4.33203125" customWidth="1"/>
  </cols>
  <sheetData>
    <row r="1" spans="1:24" ht="39.6">
      <c r="A1" s="37" t="s">
        <v>0</v>
      </c>
      <c r="B1" s="37"/>
      <c r="C1" s="37"/>
      <c r="P1" s="62" t="s">
        <v>430</v>
      </c>
      <c r="Q1" s="64" t="s">
        <v>431</v>
      </c>
      <c r="R1" s="64" t="s">
        <v>432</v>
      </c>
      <c r="S1" s="64" t="s">
        <v>433</v>
      </c>
      <c r="T1" s="64" t="s">
        <v>434</v>
      </c>
      <c r="U1" s="64" t="s">
        <v>435</v>
      </c>
      <c r="V1" s="64" t="s">
        <v>436</v>
      </c>
      <c r="W1" s="62" t="s">
        <v>437</v>
      </c>
      <c r="X1" s="62" t="s">
        <v>438</v>
      </c>
    </row>
    <row r="2" spans="1:24" ht="15">
      <c r="A2" s="37" t="s">
        <v>302</v>
      </c>
      <c r="B2" s="37"/>
      <c r="C2" s="37"/>
      <c r="P2" s="65">
        <v>1</v>
      </c>
      <c r="Q2" s="63">
        <v>5</v>
      </c>
      <c r="R2" s="67">
        <v>1.6134360000000001</v>
      </c>
      <c r="S2" s="67">
        <v>0.122613</v>
      </c>
      <c r="T2" s="67">
        <v>0.96128599999999997</v>
      </c>
      <c r="U2" s="67">
        <v>2.0179999999999998E-3</v>
      </c>
      <c r="V2" s="67">
        <v>4.4925E-2</v>
      </c>
      <c r="W2" s="66">
        <v>43101</v>
      </c>
      <c r="X2" s="66">
        <v>43221</v>
      </c>
    </row>
    <row r="3" spans="1:24" ht="15">
      <c r="A3" s="37" t="s">
        <v>2</v>
      </c>
      <c r="B3" s="37"/>
      <c r="C3" s="37"/>
      <c r="P3" s="65">
        <v>2</v>
      </c>
      <c r="Q3" s="63">
        <v>7</v>
      </c>
      <c r="R3" s="67">
        <v>2.7790080000000001</v>
      </c>
      <c r="S3" s="67">
        <v>-7.6128000000000001E-2</v>
      </c>
      <c r="T3" s="67">
        <v>0.89094499999999999</v>
      </c>
      <c r="U3" s="67">
        <v>3.973E-3</v>
      </c>
      <c r="V3" s="67">
        <v>6.3029000000000002E-2</v>
      </c>
      <c r="W3" s="66">
        <v>43252</v>
      </c>
      <c r="X3" s="66">
        <v>43435</v>
      </c>
    </row>
    <row r="4" spans="1:24" ht="15">
      <c r="A4" s="37" t="s">
        <v>3</v>
      </c>
      <c r="B4" s="37"/>
      <c r="C4" s="37"/>
      <c r="P4" s="65">
        <v>3</v>
      </c>
      <c r="Q4" s="63">
        <v>5</v>
      </c>
      <c r="R4" s="67">
        <v>1.12673</v>
      </c>
      <c r="S4" s="67">
        <v>2.3361E-2</v>
      </c>
      <c r="T4" s="67">
        <v>0.30213200000000001</v>
      </c>
      <c r="U4" s="67">
        <v>4.202E-3</v>
      </c>
      <c r="V4" s="67">
        <v>6.4821000000000004E-2</v>
      </c>
      <c r="W4" s="66">
        <v>43466</v>
      </c>
      <c r="X4" s="66">
        <v>43586</v>
      </c>
    </row>
    <row r="5" spans="1:24" ht="15">
      <c r="A5" s="37" t="s">
        <v>303</v>
      </c>
      <c r="B5" s="37"/>
      <c r="C5" s="37"/>
      <c r="P5" s="65">
        <v>4</v>
      </c>
      <c r="Q5" s="63">
        <v>5</v>
      </c>
      <c r="R5" s="67">
        <v>2.2665500000000001</v>
      </c>
      <c r="S5" s="67">
        <v>-4.4498000000000003E-2</v>
      </c>
      <c r="T5" s="67">
        <v>0.71594899999999995</v>
      </c>
      <c r="U5" s="67">
        <v>2.6189999999999998E-3</v>
      </c>
      <c r="V5" s="67">
        <v>5.1173000000000003E-2</v>
      </c>
      <c r="W5" s="66">
        <v>43617</v>
      </c>
      <c r="X5" s="66">
        <v>43739</v>
      </c>
    </row>
    <row r="6" spans="1:24" ht="15">
      <c r="A6" s="37" t="s">
        <v>422</v>
      </c>
      <c r="B6" s="37"/>
      <c r="C6" s="37"/>
      <c r="P6" s="65">
        <v>5</v>
      </c>
      <c r="Q6" s="63">
        <v>8</v>
      </c>
      <c r="R6" s="67">
        <v>5.6018129999999999</v>
      </c>
      <c r="S6" s="67">
        <v>-0.167597</v>
      </c>
      <c r="T6" s="67">
        <v>0.59567000000000003</v>
      </c>
      <c r="U6" s="67">
        <v>0.133462</v>
      </c>
      <c r="V6" s="67">
        <v>0.36532500000000001</v>
      </c>
      <c r="W6" s="66">
        <v>43770</v>
      </c>
      <c r="X6" s="66">
        <v>43983</v>
      </c>
    </row>
    <row r="7" spans="1:24">
      <c r="A7" s="38"/>
      <c r="B7" s="38"/>
      <c r="C7" s="38"/>
      <c r="P7" s="65">
        <v>6</v>
      </c>
      <c r="Q7" s="63">
        <v>8</v>
      </c>
      <c r="R7" s="67">
        <v>-2.2844389999999999</v>
      </c>
      <c r="S7" s="67">
        <v>0.10423499999999999</v>
      </c>
      <c r="T7" s="67">
        <v>0.80730999999999997</v>
      </c>
      <c r="U7" s="67">
        <v>1.8152999999999999E-2</v>
      </c>
      <c r="V7" s="67">
        <v>0.13473199999999999</v>
      </c>
      <c r="W7" s="66">
        <v>44013</v>
      </c>
      <c r="X7" s="66">
        <v>44228</v>
      </c>
    </row>
    <row r="8" spans="1:24" ht="15">
      <c r="A8" s="37" t="s">
        <v>6</v>
      </c>
      <c r="B8" s="37" t="s">
        <v>7</v>
      </c>
      <c r="C8" s="37" t="s">
        <v>423</v>
      </c>
      <c r="P8" s="65">
        <v>7</v>
      </c>
      <c r="Q8" s="63">
        <v>5</v>
      </c>
      <c r="R8" s="67">
        <v>-13.692252</v>
      </c>
      <c r="S8" s="67">
        <v>0.42742599999999997</v>
      </c>
      <c r="T8" s="67">
        <v>0.87703100000000001</v>
      </c>
      <c r="U8" s="67">
        <v>8.5385000000000003E-2</v>
      </c>
      <c r="V8" s="67">
        <v>0.29220699999999999</v>
      </c>
      <c r="W8" s="66">
        <v>44256</v>
      </c>
      <c r="X8" s="66">
        <v>44378</v>
      </c>
    </row>
    <row r="9" spans="1:24">
      <c r="P9" s="65">
        <v>8</v>
      </c>
      <c r="Q9" s="63">
        <v>5</v>
      </c>
      <c r="R9" s="67">
        <v>-14.503126999999999</v>
      </c>
      <c r="S9" s="67">
        <v>0.43148799999999998</v>
      </c>
      <c r="T9" s="67">
        <v>0.96434200000000003</v>
      </c>
      <c r="U9" s="67">
        <v>2.2948E-2</v>
      </c>
      <c r="V9" s="67">
        <v>0.15148500000000001</v>
      </c>
      <c r="W9" s="66">
        <v>44409</v>
      </c>
      <c r="X9" s="66">
        <v>44531</v>
      </c>
    </row>
    <row r="10" spans="1:24">
      <c r="P10" s="65">
        <v>9</v>
      </c>
      <c r="Q10" s="63">
        <v>6</v>
      </c>
      <c r="R10" s="67">
        <v>-1.143146</v>
      </c>
      <c r="S10" s="67">
        <v>0.15315899999999999</v>
      </c>
      <c r="T10" s="67">
        <v>0.74560400000000004</v>
      </c>
      <c r="U10" s="67">
        <v>3.5015999999999999E-2</v>
      </c>
      <c r="V10" s="67">
        <v>0.18712500000000001</v>
      </c>
      <c r="W10" s="66">
        <v>44562</v>
      </c>
      <c r="X10" s="66">
        <v>44713</v>
      </c>
    </row>
    <row r="11" spans="1:24" ht="15">
      <c r="A11" s="60" t="s">
        <v>9</v>
      </c>
      <c r="B11" s="60" t="s">
        <v>6</v>
      </c>
      <c r="P11" s="65">
        <v>10</v>
      </c>
      <c r="Q11" s="63">
        <v>8</v>
      </c>
      <c r="R11" s="67">
        <v>20.304966</v>
      </c>
      <c r="S11" s="67">
        <v>-0.242872</v>
      </c>
      <c r="T11" s="67">
        <v>0.92678799999999995</v>
      </c>
      <c r="U11" s="67">
        <v>3.2618000000000001E-2</v>
      </c>
      <c r="V11" s="67">
        <v>0.18060399999999999</v>
      </c>
      <c r="W11" s="66">
        <v>44743</v>
      </c>
      <c r="X11" s="66">
        <v>44958</v>
      </c>
    </row>
    <row r="12" spans="1:24" ht="15">
      <c r="A12" s="61">
        <v>42736</v>
      </c>
      <c r="B12" s="59">
        <v>99.450999999999993</v>
      </c>
      <c r="P12" s="65">
        <v>11</v>
      </c>
      <c r="Q12" s="63">
        <v>5</v>
      </c>
      <c r="R12" s="67">
        <v>24.914960000000001</v>
      </c>
      <c r="S12" s="67">
        <v>-0.32299499999999998</v>
      </c>
      <c r="T12" s="67">
        <v>0.84176700000000004</v>
      </c>
      <c r="U12" s="67">
        <v>6.5369999999999998E-2</v>
      </c>
      <c r="V12" s="67">
        <v>0.25567499999999999</v>
      </c>
      <c r="W12" s="66">
        <v>44986</v>
      </c>
      <c r="X12" s="66">
        <v>45108</v>
      </c>
    </row>
    <row r="13" spans="1:24" ht="15">
      <c r="A13" s="61">
        <v>42767</v>
      </c>
      <c r="B13" s="59">
        <v>99.585999999999999</v>
      </c>
      <c r="P13" s="65">
        <v>12</v>
      </c>
      <c r="Q13" s="63">
        <v>5</v>
      </c>
      <c r="R13" s="67">
        <v>17.181051</v>
      </c>
      <c r="S13" s="67">
        <v>-0.20133899999999999</v>
      </c>
      <c r="T13" s="67">
        <v>0.88134299999999999</v>
      </c>
      <c r="U13" s="67">
        <v>1.8192E-2</v>
      </c>
      <c r="V13" s="67">
        <v>0.134878</v>
      </c>
      <c r="W13" s="66">
        <v>45139</v>
      </c>
      <c r="X13" s="66">
        <v>45261</v>
      </c>
    </row>
    <row r="14" spans="1:24" ht="15">
      <c r="A14" s="61">
        <v>42795</v>
      </c>
      <c r="B14" s="59">
        <v>99.534999999999997</v>
      </c>
      <c r="P14" s="65">
        <v>13</v>
      </c>
      <c r="Q14" s="63">
        <v>9</v>
      </c>
      <c r="R14" s="67">
        <v>7.2116239999999996</v>
      </c>
      <c r="S14" s="67">
        <v>-5.9551E-2</v>
      </c>
      <c r="T14" s="67">
        <v>0.645096</v>
      </c>
      <c r="U14" s="67">
        <v>1.6722999999999998E-2</v>
      </c>
      <c r="V14" s="67">
        <v>0.12931699999999999</v>
      </c>
      <c r="W14" s="66">
        <v>45292</v>
      </c>
      <c r="X14" s="66">
        <v>45536</v>
      </c>
    </row>
    <row r="15" spans="1:24" ht="15">
      <c r="A15" s="61">
        <v>42826</v>
      </c>
      <c r="B15" s="59">
        <v>99.724999999999994</v>
      </c>
      <c r="P15" s="65">
        <v>14</v>
      </c>
      <c r="Q15" s="63">
        <v>5</v>
      </c>
      <c r="R15" s="67">
        <v>-1.4530559999999999</v>
      </c>
      <c r="S15" s="67">
        <v>4.8515999999999997E-2</v>
      </c>
      <c r="T15" s="67">
        <v>0.570025</v>
      </c>
      <c r="U15" s="67">
        <v>5.9179999999999996E-3</v>
      </c>
      <c r="V15" s="67">
        <v>7.6930999999999999E-2</v>
      </c>
      <c r="W15" s="66">
        <v>45566</v>
      </c>
      <c r="X15" s="66">
        <v>45689</v>
      </c>
    </row>
    <row r="16" spans="1:24" ht="15">
      <c r="A16" s="61">
        <v>42856</v>
      </c>
      <c r="B16" s="59">
        <v>99.682000000000002</v>
      </c>
      <c r="P16" s="65">
        <v>15</v>
      </c>
      <c r="Q16" s="63">
        <v>7</v>
      </c>
      <c r="R16" s="67">
        <v>-5.0137330000000002</v>
      </c>
      <c r="S16" s="67">
        <v>8.3988999999999994E-2</v>
      </c>
      <c r="T16" s="67">
        <v>0.91545200000000004</v>
      </c>
      <c r="U16" s="67">
        <v>3.6480000000000002E-3</v>
      </c>
      <c r="V16" s="67">
        <v>6.0401999999999997E-2</v>
      </c>
      <c r="W16" s="66">
        <v>45717</v>
      </c>
      <c r="X16" s="66">
        <v>45901</v>
      </c>
    </row>
    <row r="17" spans="1:9" ht="15">
      <c r="A17" s="61">
        <v>42887</v>
      </c>
      <c r="B17" s="59">
        <v>99.766000000000005</v>
      </c>
    </row>
    <row r="18" spans="1:9" ht="15">
      <c r="A18" s="61">
        <v>42917</v>
      </c>
      <c r="B18" s="59">
        <v>99.802999999999997</v>
      </c>
    </row>
    <row r="19" spans="1:9" ht="15">
      <c r="A19" s="61">
        <v>42948</v>
      </c>
      <c r="B19" s="59">
        <v>100.027</v>
      </c>
    </row>
    <row r="20" spans="1:9" ht="15">
      <c r="A20" s="61">
        <v>42979</v>
      </c>
      <c r="B20" s="59">
        <v>100.4</v>
      </c>
    </row>
    <row r="21" spans="1:9" ht="15">
      <c r="A21" s="61">
        <v>43009</v>
      </c>
      <c r="B21" s="59">
        <v>100.53100000000001</v>
      </c>
    </row>
    <row r="22" spans="1:9" ht="15">
      <c r="A22" s="61">
        <v>43040</v>
      </c>
      <c r="B22" s="59">
        <v>100.675</v>
      </c>
    </row>
    <row r="23" spans="1:9" ht="15">
      <c r="A23" s="61">
        <v>43070</v>
      </c>
      <c r="B23" s="59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5">
      <c r="A24" s="10">
        <v>43101</v>
      </c>
      <c r="B24" s="59">
        <v>101.199</v>
      </c>
      <c r="C24" s="31">
        <v>1</v>
      </c>
      <c r="D24" s="31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 ht="15">
      <c r="A25" s="10">
        <v>43132</v>
      </c>
      <c r="B25" s="59">
        <v>101.416</v>
      </c>
      <c r="C25" s="31">
        <v>2</v>
      </c>
      <c r="D25" s="31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424</v>
      </c>
    </row>
    <row r="26" spans="1:9" ht="15">
      <c r="A26" s="10">
        <v>43160</v>
      </c>
      <c r="B26" s="59">
        <v>101.524</v>
      </c>
      <c r="C26" s="31">
        <v>3</v>
      </c>
      <c r="D26" s="31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 ht="15">
      <c r="A27" s="10">
        <v>43191</v>
      </c>
      <c r="B27" s="59">
        <v>101.76600000000001</v>
      </c>
      <c r="C27" s="31">
        <v>4</v>
      </c>
      <c r="D27" s="31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 ht="15">
      <c r="A28" s="10">
        <v>43221</v>
      </c>
      <c r="B28" s="59">
        <v>101.941</v>
      </c>
      <c r="C28" s="31">
        <v>5</v>
      </c>
      <c r="D28" s="31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 ht="15">
      <c r="A29" s="16">
        <v>43252</v>
      </c>
      <c r="B29" s="59">
        <v>102.029</v>
      </c>
      <c r="C29" s="31">
        <v>6</v>
      </c>
      <c r="D29" s="31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 ht="15">
      <c r="A30" s="10">
        <v>43282</v>
      </c>
      <c r="B30" s="59">
        <v>102.137</v>
      </c>
      <c r="C30" s="31">
        <v>7</v>
      </c>
      <c r="D30" s="31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 ht="15">
      <c r="A31" s="10">
        <v>43313</v>
      </c>
      <c r="B31" s="59">
        <v>102.208</v>
      </c>
      <c r="C31" s="31">
        <v>8</v>
      </c>
      <c r="D31" s="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 ht="15">
      <c r="A32" s="10">
        <v>43344</v>
      </c>
      <c r="B32" s="59">
        <v>102.41800000000001</v>
      </c>
      <c r="C32" s="31">
        <v>9</v>
      </c>
      <c r="D32" s="31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 ht="15">
      <c r="A33" s="10">
        <v>43374</v>
      </c>
      <c r="B33" s="59">
        <v>102.595</v>
      </c>
      <c r="C33" s="31">
        <v>10</v>
      </c>
      <c r="D33" s="31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 ht="15">
      <c r="A34" s="10">
        <v>43405</v>
      </c>
      <c r="B34" s="59">
        <v>102.63</v>
      </c>
      <c r="C34" s="31">
        <v>11</v>
      </c>
      <c r="D34" s="31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 ht="15">
      <c r="A35" s="10">
        <v>43435</v>
      </c>
      <c r="B35" s="59">
        <v>102.70099999999999</v>
      </c>
      <c r="C35" s="31">
        <v>12</v>
      </c>
      <c r="D35" s="31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 ht="15">
      <c r="A36" s="16">
        <v>43466</v>
      </c>
      <c r="B36" s="59">
        <v>102.648</v>
      </c>
      <c r="C36" s="31">
        <v>13</v>
      </c>
      <c r="D36" s="31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 ht="15">
      <c r="A37" s="10">
        <v>43497</v>
      </c>
      <c r="B37" s="59">
        <v>102.836</v>
      </c>
      <c r="C37" s="31">
        <v>14</v>
      </c>
      <c r="D37" s="31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 ht="15">
      <c r="A38" s="10">
        <v>43525</v>
      </c>
      <c r="B38" s="59">
        <v>103.069</v>
      </c>
      <c r="C38" s="31">
        <v>15</v>
      </c>
      <c r="D38" s="31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 ht="15">
      <c r="A39" s="10">
        <v>43556</v>
      </c>
      <c r="B39" s="59">
        <v>103.36</v>
      </c>
      <c r="C39" s="31">
        <v>16</v>
      </c>
      <c r="D39" s="31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 ht="15">
      <c r="A40" s="10">
        <v>43586</v>
      </c>
      <c r="B40" s="59">
        <v>103.435</v>
      </c>
      <c r="C40" s="31">
        <v>17</v>
      </c>
      <c r="D40" s="31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 ht="15">
      <c r="A41" s="16">
        <v>43617</v>
      </c>
      <c r="B41" s="59">
        <v>103.48399999999999</v>
      </c>
      <c r="C41" s="31">
        <v>18</v>
      </c>
      <c r="D41" s="31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 ht="15">
      <c r="A42" s="10">
        <v>43647</v>
      </c>
      <c r="B42" s="59">
        <v>103.622</v>
      </c>
      <c r="C42" s="31">
        <v>19</v>
      </c>
      <c r="D42" s="31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 ht="15">
      <c r="A43" s="10">
        <v>43678</v>
      </c>
      <c r="B43" s="59">
        <v>103.67</v>
      </c>
      <c r="C43" s="31">
        <v>20</v>
      </c>
      <c r="D43" s="31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 ht="15">
      <c r="A44" s="10">
        <v>43709</v>
      </c>
      <c r="B44" s="59">
        <v>103.733</v>
      </c>
      <c r="C44" s="31">
        <v>21</v>
      </c>
      <c r="D44" s="31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 ht="15">
      <c r="A45" s="10">
        <v>43739</v>
      </c>
      <c r="B45" s="59">
        <v>103.917</v>
      </c>
      <c r="C45" s="31">
        <v>22</v>
      </c>
      <c r="D45" s="31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 ht="15">
      <c r="A46" s="16">
        <v>43770</v>
      </c>
      <c r="B46" s="59">
        <v>104.024</v>
      </c>
      <c r="C46" s="31">
        <v>23</v>
      </c>
      <c r="D46" s="31">
        <f t="shared" si="0"/>
        <v>1.3582773068303668</v>
      </c>
      <c r="E46">
        <v>23</v>
      </c>
      <c r="F46">
        <v>23</v>
      </c>
      <c r="G46">
        <v>1.358277307</v>
      </c>
      <c r="H46">
        <v>1.7470874236</v>
      </c>
      <c r="I46" t="s">
        <v>223</v>
      </c>
    </row>
    <row r="47" spans="1:9" ht="15">
      <c r="A47" s="10">
        <v>43800</v>
      </c>
      <c r="B47" s="59">
        <v>104.307</v>
      </c>
      <c r="C47" s="31">
        <v>24</v>
      </c>
      <c r="D47" s="31">
        <f t="shared" si="0"/>
        <v>1.5637627676458932</v>
      </c>
      <c r="E47">
        <v>24</v>
      </c>
      <c r="F47">
        <v>24</v>
      </c>
      <c r="G47">
        <v>1.5637627679999999</v>
      </c>
      <c r="H47">
        <v>1.5794906720999999</v>
      </c>
      <c r="I47" t="s">
        <v>224</v>
      </c>
    </row>
    <row r="48" spans="1:9" ht="15">
      <c r="A48" s="10">
        <v>43831</v>
      </c>
      <c r="B48" s="59">
        <v>104.49</v>
      </c>
      <c r="C48" s="31">
        <v>25</v>
      </c>
      <c r="D48" s="31">
        <f t="shared" si="0"/>
        <v>1.7944821136310487</v>
      </c>
      <c r="E48">
        <v>25</v>
      </c>
      <c r="F48">
        <v>25</v>
      </c>
      <c r="G48">
        <v>1.794482114</v>
      </c>
      <c r="H48">
        <v>1.4118939205000001</v>
      </c>
      <c r="I48" t="s">
        <v>225</v>
      </c>
    </row>
    <row r="49" spans="1:9" ht="15">
      <c r="A49" s="10">
        <v>43862</v>
      </c>
      <c r="B49" s="59">
        <v>104.57299999999999</v>
      </c>
      <c r="C49" s="31">
        <v>26</v>
      </c>
      <c r="D49" s="31">
        <f t="shared" si="0"/>
        <v>1.6890972033140095</v>
      </c>
      <c r="E49">
        <v>26</v>
      </c>
      <c r="F49">
        <v>26</v>
      </c>
      <c r="G49">
        <v>1.689097203</v>
      </c>
      <c r="H49">
        <v>1.244297169</v>
      </c>
      <c r="I49" t="s">
        <v>226</v>
      </c>
    </row>
    <row r="50" spans="1:9" ht="15">
      <c r="A50" s="10">
        <v>43891</v>
      </c>
      <c r="B50" s="59">
        <v>104.271</v>
      </c>
      <c r="C50" s="31">
        <v>27</v>
      </c>
      <c r="D50" s="31">
        <f t="shared" si="0"/>
        <v>1.1662090444265474</v>
      </c>
      <c r="E50">
        <v>27</v>
      </c>
      <c r="F50">
        <v>27</v>
      </c>
      <c r="G50">
        <v>1.1662090439999999</v>
      </c>
      <c r="H50">
        <v>1.0767004174999999</v>
      </c>
      <c r="I50" t="s">
        <v>227</v>
      </c>
    </row>
    <row r="51" spans="1:9" ht="15">
      <c r="A51" s="10">
        <v>43922</v>
      </c>
      <c r="B51" s="59">
        <v>103.83799999999999</v>
      </c>
      <c r="C51" s="31">
        <v>28</v>
      </c>
      <c r="D51" s="31">
        <f t="shared" si="0"/>
        <v>0.46246130030959215</v>
      </c>
      <c r="E51">
        <v>28</v>
      </c>
      <c r="F51">
        <v>28</v>
      </c>
      <c r="G51">
        <v>0.46246130000000002</v>
      </c>
      <c r="H51">
        <v>0.90910366600000003</v>
      </c>
      <c r="I51" t="s">
        <v>228</v>
      </c>
    </row>
    <row r="52" spans="1:9" ht="15">
      <c r="A52" s="10">
        <v>43952</v>
      </c>
      <c r="B52" s="59">
        <v>103.94199999999999</v>
      </c>
      <c r="C52" s="31">
        <v>29</v>
      </c>
      <c r="D52" s="31">
        <f t="shared" si="0"/>
        <v>0.49016290423936848</v>
      </c>
      <c r="E52">
        <v>29</v>
      </c>
      <c r="F52">
        <v>29</v>
      </c>
      <c r="G52">
        <v>0.49016290400000001</v>
      </c>
      <c r="H52">
        <v>0.74150691440000005</v>
      </c>
      <c r="I52" t="s">
        <v>229</v>
      </c>
    </row>
    <row r="53" spans="1:9" ht="15">
      <c r="A53" s="10">
        <v>43983</v>
      </c>
      <c r="B53" s="59">
        <v>104.27</v>
      </c>
      <c r="C53" s="31">
        <v>30</v>
      </c>
      <c r="D53" s="31">
        <f t="shared" si="0"/>
        <v>0.75953770631208828</v>
      </c>
      <c r="E53">
        <v>30</v>
      </c>
      <c r="F53">
        <v>30</v>
      </c>
      <c r="G53">
        <v>0.75953770600000003</v>
      </c>
      <c r="H53">
        <v>0.57391016289999996</v>
      </c>
      <c r="I53" t="s">
        <v>230</v>
      </c>
    </row>
    <row r="54" spans="1:9" ht="15">
      <c r="A54" s="16">
        <v>44013</v>
      </c>
      <c r="B54" s="59">
        <v>104.578</v>
      </c>
      <c r="C54" s="31">
        <v>31</v>
      </c>
      <c r="D54" s="31">
        <f t="shared" si="0"/>
        <v>0.92258400725714917</v>
      </c>
      <c r="E54">
        <v>31</v>
      </c>
      <c r="F54">
        <v>31</v>
      </c>
      <c r="G54">
        <v>0.92258400699999998</v>
      </c>
      <c r="H54">
        <v>0.94683608340000003</v>
      </c>
      <c r="I54" t="s">
        <v>386</v>
      </c>
    </row>
    <row r="55" spans="1:9" ht="15">
      <c r="A55" s="10">
        <v>44044</v>
      </c>
      <c r="B55" s="59">
        <v>104.87</v>
      </c>
      <c r="C55" s="31">
        <v>32</v>
      </c>
      <c r="D55" s="31">
        <f t="shared" si="0"/>
        <v>1.1575190508343811</v>
      </c>
      <c r="E55">
        <v>32</v>
      </c>
      <c r="F55">
        <v>32</v>
      </c>
      <c r="G55">
        <v>1.157519051</v>
      </c>
      <c r="H55">
        <v>1.0510707502000001</v>
      </c>
      <c r="I55" t="s">
        <v>387</v>
      </c>
    </row>
    <row r="56" spans="1:9" ht="15">
      <c r="A56" s="10">
        <v>44075</v>
      </c>
      <c r="B56" s="59">
        <v>105.057</v>
      </c>
      <c r="C56" s="31">
        <v>33</v>
      </c>
      <c r="D56" s="31">
        <f t="shared" si="0"/>
        <v>1.2763537157895732</v>
      </c>
      <c r="E56">
        <v>33</v>
      </c>
      <c r="F56">
        <v>33</v>
      </c>
      <c r="G56">
        <v>1.276353716</v>
      </c>
      <c r="H56">
        <v>1.1553054169999999</v>
      </c>
      <c r="I56" t="s">
        <v>388</v>
      </c>
    </row>
    <row r="57" spans="1:9" ht="15">
      <c r="A57" s="10">
        <v>44105</v>
      </c>
      <c r="B57" s="59">
        <v>105.151</v>
      </c>
      <c r="C57" s="31">
        <v>34</v>
      </c>
      <c r="D57" s="31">
        <f t="shared" si="0"/>
        <v>1.1874861668446881</v>
      </c>
      <c r="E57">
        <v>34</v>
      </c>
      <c r="F57">
        <v>34</v>
      </c>
      <c r="G57">
        <v>1.1874861670000001</v>
      </c>
      <c r="H57">
        <v>1.2595400836999999</v>
      </c>
      <c r="I57" t="s">
        <v>234</v>
      </c>
    </row>
    <row r="58" spans="1:9" ht="15">
      <c r="A58" s="10">
        <v>44136</v>
      </c>
      <c r="B58" s="59">
        <v>105.258</v>
      </c>
      <c r="C58" s="31">
        <v>35</v>
      </c>
      <c r="D58" s="31">
        <f t="shared" si="0"/>
        <v>1.1862647081442692</v>
      </c>
      <c r="E58">
        <v>35</v>
      </c>
      <c r="F58">
        <v>35</v>
      </c>
      <c r="G58">
        <v>1.1862647079999999</v>
      </c>
      <c r="H58">
        <v>1.3637747505</v>
      </c>
      <c r="I58" t="s">
        <v>109</v>
      </c>
    </row>
    <row r="59" spans="1:9" ht="15">
      <c r="A59" s="10">
        <v>44166</v>
      </c>
      <c r="B59" s="59">
        <v>105.699</v>
      </c>
      <c r="C59" s="31">
        <v>36</v>
      </c>
      <c r="D59" s="31">
        <f t="shared" si="0"/>
        <v>1.3345221317840565</v>
      </c>
      <c r="E59">
        <v>36</v>
      </c>
      <c r="F59">
        <v>36</v>
      </c>
      <c r="G59">
        <v>1.334522132</v>
      </c>
      <c r="H59">
        <v>1.4680094173</v>
      </c>
      <c r="I59" t="s">
        <v>389</v>
      </c>
    </row>
    <row r="60" spans="1:9" ht="15">
      <c r="A60" s="10">
        <v>44197</v>
      </c>
      <c r="B60" s="59">
        <v>106.14700000000001</v>
      </c>
      <c r="C60" s="31">
        <v>37</v>
      </c>
      <c r="D60" s="31">
        <f t="shared" si="0"/>
        <v>1.5857976839889087</v>
      </c>
      <c r="E60">
        <v>37</v>
      </c>
      <c r="F60">
        <v>37</v>
      </c>
      <c r="G60">
        <v>1.5857976840000001</v>
      </c>
      <c r="H60">
        <v>1.5722440841</v>
      </c>
      <c r="I60" t="s">
        <v>390</v>
      </c>
    </row>
    <row r="61" spans="1:9" ht="15">
      <c r="A61" s="10">
        <v>44228</v>
      </c>
      <c r="B61" s="59">
        <v>106.5</v>
      </c>
      <c r="C61" s="31">
        <v>38</v>
      </c>
      <c r="D61" s="31">
        <f t="shared" si="0"/>
        <v>1.8427318715155985</v>
      </c>
      <c r="E61">
        <v>38</v>
      </c>
      <c r="F61">
        <v>38</v>
      </c>
      <c r="G61">
        <v>1.8427318720000001</v>
      </c>
      <c r="H61">
        <v>1.6764787508000001</v>
      </c>
      <c r="I61" t="s">
        <v>391</v>
      </c>
    </row>
    <row r="62" spans="1:9" ht="15">
      <c r="A62" s="16">
        <v>44256</v>
      </c>
      <c r="B62" s="59">
        <v>107.054</v>
      </c>
      <c r="C62" s="31">
        <v>39</v>
      </c>
      <c r="D62" s="31">
        <f t="shared" si="0"/>
        <v>2.6690067228663783</v>
      </c>
      <c r="E62">
        <v>39</v>
      </c>
      <c r="F62">
        <v>39</v>
      </c>
      <c r="G62">
        <v>2.6690067229999999</v>
      </c>
      <c r="H62">
        <v>2.9773678308</v>
      </c>
      <c r="I62" t="s">
        <v>238</v>
      </c>
    </row>
    <row r="63" spans="1:9" ht="15">
      <c r="A63" s="10">
        <v>44287</v>
      </c>
      <c r="B63" s="59">
        <v>107.61799999999999</v>
      </c>
      <c r="C63" s="31">
        <v>40</v>
      </c>
      <c r="D63" s="31">
        <f t="shared" si="0"/>
        <v>3.6402858298503453</v>
      </c>
      <c r="E63">
        <v>40</v>
      </c>
      <c r="F63">
        <v>40</v>
      </c>
      <c r="G63">
        <v>3.6402858299999998</v>
      </c>
      <c r="H63">
        <v>3.4047939680999999</v>
      </c>
      <c r="I63" t="s">
        <v>110</v>
      </c>
    </row>
    <row r="64" spans="1:9" ht="15">
      <c r="A64" s="10">
        <v>44317</v>
      </c>
      <c r="B64" s="59">
        <v>108.175</v>
      </c>
      <c r="C64" s="31">
        <v>41</v>
      </c>
      <c r="D64" s="31">
        <f t="shared" si="0"/>
        <v>4.072463489253626</v>
      </c>
      <c r="E64">
        <v>41</v>
      </c>
      <c r="F64">
        <v>41</v>
      </c>
      <c r="G64">
        <v>4.0724634890000004</v>
      </c>
      <c r="H64">
        <v>3.8322201053999998</v>
      </c>
      <c r="I64" t="s">
        <v>392</v>
      </c>
    </row>
    <row r="65" spans="1:9" ht="15">
      <c r="A65" s="10">
        <v>44348</v>
      </c>
      <c r="B65" s="59">
        <v>108.76</v>
      </c>
      <c r="C65" s="31">
        <v>42</v>
      </c>
      <c r="D65" s="31">
        <f t="shared" si="0"/>
        <v>4.3061283207058683</v>
      </c>
      <c r="E65">
        <v>42</v>
      </c>
      <c r="F65">
        <v>42</v>
      </c>
      <c r="G65">
        <v>4.3061283210000001</v>
      </c>
      <c r="H65">
        <v>4.2596462426999997</v>
      </c>
      <c r="I65" t="s">
        <v>393</v>
      </c>
    </row>
    <row r="66" spans="1:9" ht="15">
      <c r="A66" s="10">
        <v>44378</v>
      </c>
      <c r="B66" s="59">
        <v>109.256</v>
      </c>
      <c r="C66" s="31">
        <v>43</v>
      </c>
      <c r="D66" s="31">
        <f t="shared" si="0"/>
        <v>4.4732161640115482</v>
      </c>
      <c r="E66">
        <v>43</v>
      </c>
      <c r="F66">
        <v>43</v>
      </c>
      <c r="G66">
        <v>4.4732161640000001</v>
      </c>
      <c r="H66">
        <v>4.68707238</v>
      </c>
      <c r="I66" t="s">
        <v>394</v>
      </c>
    </row>
    <row r="67" spans="1:9" ht="15">
      <c r="A67" s="16">
        <v>44409</v>
      </c>
      <c r="B67" s="59">
        <v>109.67400000000001</v>
      </c>
      <c r="C67" s="31">
        <v>44</v>
      </c>
      <c r="D67" s="31">
        <f t="shared" si="0"/>
        <v>4.5809096977209895</v>
      </c>
      <c r="E67">
        <v>44</v>
      </c>
      <c r="F67">
        <v>44</v>
      </c>
      <c r="G67">
        <v>4.5809096980000001</v>
      </c>
      <c r="H67">
        <v>4.4823504152</v>
      </c>
      <c r="I67" t="s">
        <v>242</v>
      </c>
    </row>
    <row r="68" spans="1:9" ht="15">
      <c r="A68" s="10">
        <v>44440</v>
      </c>
      <c r="B68" s="59">
        <v>110.03400000000001</v>
      </c>
      <c r="C68" s="31">
        <v>45</v>
      </c>
      <c r="D68" s="31">
        <f t="shared" si="0"/>
        <v>4.7374282532339622</v>
      </c>
      <c r="E68">
        <v>45</v>
      </c>
      <c r="F68">
        <v>45</v>
      </c>
      <c r="G68">
        <v>4.737428253</v>
      </c>
      <c r="H68">
        <v>4.9138385435999998</v>
      </c>
      <c r="I68" t="s">
        <v>243</v>
      </c>
    </row>
    <row r="69" spans="1:9" ht="15">
      <c r="A69" s="10">
        <v>44470</v>
      </c>
      <c r="B69" s="59">
        <v>110.762</v>
      </c>
      <c r="C69" s="31">
        <v>46</v>
      </c>
      <c r="D69" s="31">
        <f t="shared" si="0"/>
        <v>5.3361356525377825</v>
      </c>
      <c r="E69">
        <v>46</v>
      </c>
      <c r="F69">
        <v>46</v>
      </c>
      <c r="G69">
        <v>5.3361356530000004</v>
      </c>
      <c r="H69">
        <v>5.3453266719999997</v>
      </c>
      <c r="I69" t="s">
        <v>395</v>
      </c>
    </row>
    <row r="70" spans="1:9" ht="15">
      <c r="A70" s="10">
        <v>44501</v>
      </c>
      <c r="B70" s="59">
        <v>111.5</v>
      </c>
      <c r="C70" s="31">
        <v>47</v>
      </c>
      <c r="D70" s="31">
        <f t="shared" si="0"/>
        <v>5.9301905793383929</v>
      </c>
      <c r="E70">
        <v>47</v>
      </c>
      <c r="F70">
        <v>47</v>
      </c>
      <c r="G70">
        <v>5.9301905789999996</v>
      </c>
      <c r="H70">
        <v>5.7768148004000004</v>
      </c>
      <c r="I70" t="s">
        <v>396</v>
      </c>
    </row>
    <row r="71" spans="1:9" ht="15">
      <c r="A71" s="10">
        <v>44531</v>
      </c>
      <c r="B71" s="59">
        <v>112.191</v>
      </c>
      <c r="C71" s="31">
        <v>48</v>
      </c>
      <c r="D71" s="31">
        <f t="shared" si="0"/>
        <v>6.1419691766241922</v>
      </c>
      <c r="E71">
        <v>48</v>
      </c>
      <c r="F71">
        <v>48</v>
      </c>
      <c r="G71">
        <v>6.141969177</v>
      </c>
      <c r="H71">
        <v>6.2083029288000002</v>
      </c>
      <c r="I71" t="s">
        <v>397</v>
      </c>
    </row>
    <row r="72" spans="1:9" ht="15">
      <c r="A72" s="16">
        <v>44562</v>
      </c>
      <c r="B72" s="59">
        <v>112.80500000000001</v>
      </c>
      <c r="C72" s="31">
        <v>49</v>
      </c>
      <c r="D72" s="31">
        <f t="shared" si="0"/>
        <v>6.2724335120163559</v>
      </c>
      <c r="E72">
        <v>49</v>
      </c>
      <c r="F72">
        <v>49</v>
      </c>
      <c r="G72">
        <v>6.2724335120000001</v>
      </c>
      <c r="H72">
        <v>6.3616295271999999</v>
      </c>
      <c r="I72" t="s">
        <v>247</v>
      </c>
    </row>
    <row r="73" spans="1:9" ht="15">
      <c r="A73" s="10">
        <v>44593</v>
      </c>
      <c r="B73" s="59">
        <v>113.471</v>
      </c>
      <c r="C73" s="31">
        <v>50</v>
      </c>
      <c r="D73" s="31">
        <f t="shared" si="0"/>
        <v>6.54553990610329</v>
      </c>
      <c r="E73">
        <v>50</v>
      </c>
      <c r="F73">
        <v>50</v>
      </c>
      <c r="G73">
        <v>6.5455399060000001</v>
      </c>
      <c r="H73">
        <v>6.5147882140000002</v>
      </c>
      <c r="I73" t="s">
        <v>248</v>
      </c>
    </row>
    <row r="74" spans="1:9" ht="15">
      <c r="A74" s="10">
        <v>44621</v>
      </c>
      <c r="B74" s="59">
        <v>114.46899999999999</v>
      </c>
      <c r="C74" s="31">
        <v>51</v>
      </c>
      <c r="D74" s="31">
        <f t="shared" si="0"/>
        <v>6.9264109701645822</v>
      </c>
      <c r="E74">
        <v>51</v>
      </c>
      <c r="F74">
        <v>51</v>
      </c>
      <c r="G74">
        <v>6.9264109700000001</v>
      </c>
      <c r="H74">
        <v>6.6679469008999996</v>
      </c>
      <c r="I74" t="s">
        <v>398</v>
      </c>
    </row>
    <row r="75" spans="1:9" ht="15">
      <c r="A75" s="10">
        <v>44652</v>
      </c>
      <c r="B75" s="59">
        <v>114.812</v>
      </c>
      <c r="C75" s="31">
        <v>52</v>
      </c>
      <c r="D75" s="31">
        <f t="shared" si="0"/>
        <v>6.6847553383263056</v>
      </c>
      <c r="E75">
        <v>52</v>
      </c>
      <c r="F75">
        <v>52</v>
      </c>
      <c r="G75">
        <v>6.6847553380000004</v>
      </c>
      <c r="H75">
        <v>6.8211055878</v>
      </c>
      <c r="I75" t="s">
        <v>399</v>
      </c>
    </row>
    <row r="76" spans="1:9" ht="15">
      <c r="A76" s="10">
        <v>44682</v>
      </c>
      <c r="B76" s="59">
        <v>115.52500000000001</v>
      </c>
      <c r="C76" s="31">
        <v>53</v>
      </c>
      <c r="D76" s="31">
        <f t="shared" si="0"/>
        <v>6.7945458747400131</v>
      </c>
      <c r="E76">
        <v>53</v>
      </c>
      <c r="F76">
        <v>53</v>
      </c>
      <c r="G76">
        <v>6.7945458749999998</v>
      </c>
      <c r="H76">
        <v>6.9742642746000003</v>
      </c>
      <c r="I76" t="s">
        <v>400</v>
      </c>
    </row>
    <row r="77" spans="1:9" ht="15">
      <c r="A77" s="10">
        <v>44713</v>
      </c>
      <c r="B77" s="59">
        <v>116.63800000000001</v>
      </c>
      <c r="C77" s="31">
        <v>54</v>
      </c>
      <c r="D77" s="31">
        <f t="shared" si="0"/>
        <v>7.2434718646561231</v>
      </c>
      <c r="E77">
        <v>54</v>
      </c>
      <c r="F77">
        <v>54</v>
      </c>
      <c r="G77">
        <v>7.2434718650000001</v>
      </c>
      <c r="H77">
        <v>7.1274229614999998</v>
      </c>
      <c r="I77" t="s">
        <v>252</v>
      </c>
    </row>
    <row r="78" spans="1:9" ht="15">
      <c r="A78" s="16">
        <v>44743</v>
      </c>
      <c r="B78" s="59">
        <v>116.631</v>
      </c>
      <c r="C78" s="31">
        <v>55</v>
      </c>
      <c r="D78" s="31">
        <f t="shared" si="0"/>
        <v>6.7502013619389327</v>
      </c>
      <c r="E78">
        <v>55</v>
      </c>
      <c r="F78">
        <v>55</v>
      </c>
      <c r="G78">
        <v>6.7502013620000003</v>
      </c>
      <c r="H78">
        <v>6.9469908236000002</v>
      </c>
      <c r="I78" t="s">
        <v>253</v>
      </c>
    </row>
    <row r="79" spans="1:9" ht="15">
      <c r="A79" s="10">
        <v>44774</v>
      </c>
      <c r="B79" s="59">
        <v>116.956</v>
      </c>
      <c r="C79" s="31">
        <v>56</v>
      </c>
      <c r="D79" s="31">
        <f t="shared" si="0"/>
        <v>6.6396775899483886</v>
      </c>
      <c r="E79">
        <v>56</v>
      </c>
      <c r="F79">
        <v>56</v>
      </c>
      <c r="G79">
        <v>6.6396775899999998</v>
      </c>
      <c r="H79">
        <v>6.7041185396999996</v>
      </c>
      <c r="I79" t="s">
        <v>401</v>
      </c>
    </row>
    <row r="80" spans="1:9" ht="15">
      <c r="A80" s="10">
        <v>44805</v>
      </c>
      <c r="B80" s="59">
        <v>117.371</v>
      </c>
      <c r="C80" s="31">
        <v>57</v>
      </c>
      <c r="D80" s="31">
        <f t="shared" si="0"/>
        <v>6.6679390006725088</v>
      </c>
      <c r="E80">
        <v>57</v>
      </c>
      <c r="F80">
        <v>57</v>
      </c>
      <c r="G80">
        <v>6.6679390009999997</v>
      </c>
      <c r="H80">
        <v>6.4612462557999999</v>
      </c>
      <c r="I80" t="s">
        <v>402</v>
      </c>
    </row>
    <row r="81" spans="1:9" ht="15">
      <c r="A81" s="10">
        <v>44835</v>
      </c>
      <c r="B81" s="59">
        <v>117.919</v>
      </c>
      <c r="C81" s="31">
        <v>58</v>
      </c>
      <c r="D81" s="31">
        <f t="shared" si="0"/>
        <v>6.4616023545981438</v>
      </c>
      <c r="E81">
        <v>58</v>
      </c>
      <c r="F81">
        <v>58</v>
      </c>
      <c r="G81">
        <v>6.4616023550000001</v>
      </c>
      <c r="H81">
        <v>6.2183739719000002</v>
      </c>
      <c r="I81" t="s">
        <v>403</v>
      </c>
    </row>
    <row r="82" spans="1:9" ht="15">
      <c r="A82" s="10">
        <v>44866</v>
      </c>
      <c r="B82" s="59">
        <v>118.224</v>
      </c>
      <c r="C82" s="31">
        <v>59</v>
      </c>
      <c r="D82" s="31">
        <f t="shared" si="0"/>
        <v>6.0304932735426036</v>
      </c>
      <c r="E82">
        <v>59</v>
      </c>
      <c r="F82">
        <v>59</v>
      </c>
      <c r="G82">
        <v>6.0304932740000003</v>
      </c>
      <c r="H82">
        <v>5.9755016880999996</v>
      </c>
      <c r="I82" t="s">
        <v>257</v>
      </c>
    </row>
    <row r="83" spans="1:9" ht="15">
      <c r="A83" s="10">
        <v>44896</v>
      </c>
      <c r="B83" s="59">
        <v>118.384</v>
      </c>
      <c r="C83" s="31">
        <v>60</v>
      </c>
      <c r="D83" s="31">
        <f t="shared" si="0"/>
        <v>5.520050627946981</v>
      </c>
      <c r="E83">
        <v>60</v>
      </c>
      <c r="F83">
        <v>60</v>
      </c>
      <c r="G83">
        <v>5.5200506279999999</v>
      </c>
      <c r="H83">
        <v>5.7326294041999999</v>
      </c>
      <c r="I83" t="s">
        <v>258</v>
      </c>
    </row>
    <row r="84" spans="1:9" ht="15">
      <c r="A84" s="10">
        <v>44927</v>
      </c>
      <c r="B84" s="59">
        <v>119.018</v>
      </c>
      <c r="C84" s="31">
        <v>61</v>
      </c>
      <c r="D84" s="31">
        <f t="shared" si="0"/>
        <v>5.5077345862328739</v>
      </c>
      <c r="E84">
        <v>61</v>
      </c>
      <c r="F84">
        <v>61</v>
      </c>
      <c r="G84">
        <v>5.5077345859999998</v>
      </c>
      <c r="H84">
        <v>5.4897571203000002</v>
      </c>
      <c r="I84" t="s">
        <v>404</v>
      </c>
    </row>
    <row r="85" spans="1:9" ht="15">
      <c r="A85" s="10">
        <v>44958</v>
      </c>
      <c r="B85" s="59">
        <v>119.369</v>
      </c>
      <c r="C85" s="31">
        <v>62</v>
      </c>
      <c r="D85" s="31">
        <f t="shared" si="0"/>
        <v>5.1978038441540093</v>
      </c>
      <c r="E85">
        <v>62</v>
      </c>
      <c r="F85">
        <v>62</v>
      </c>
      <c r="G85">
        <v>5.1978038440000001</v>
      </c>
      <c r="H85">
        <v>5.2468848363999996</v>
      </c>
      <c r="I85" t="s">
        <v>405</v>
      </c>
    </row>
    <row r="86" spans="1:9" ht="15">
      <c r="A86" s="16">
        <v>44986</v>
      </c>
      <c r="B86" s="59">
        <v>119.538</v>
      </c>
      <c r="C86" s="31">
        <v>63</v>
      </c>
      <c r="D86" s="31">
        <f t="shared" si="0"/>
        <v>4.4282731569245843</v>
      </c>
      <c r="E86">
        <v>63</v>
      </c>
      <c r="F86">
        <v>63</v>
      </c>
      <c r="G86">
        <v>4.4282731569999996</v>
      </c>
      <c r="H86">
        <v>4.5662531303999998</v>
      </c>
      <c r="I86" t="s">
        <v>406</v>
      </c>
    </row>
    <row r="87" spans="1:9" ht="15">
      <c r="A87" s="10">
        <v>45017</v>
      </c>
      <c r="B87" s="59">
        <v>119.95099999999999</v>
      </c>
      <c r="C87" s="31">
        <v>64</v>
      </c>
      <c r="D87" s="31">
        <f t="shared" si="0"/>
        <v>4.4760129603177337</v>
      </c>
      <c r="E87">
        <v>64</v>
      </c>
      <c r="F87">
        <v>64</v>
      </c>
      <c r="G87">
        <v>4.4760129600000003</v>
      </c>
      <c r="H87">
        <v>4.2432577756000001</v>
      </c>
      <c r="I87" t="s">
        <v>262</v>
      </c>
    </row>
    <row r="88" spans="1:9" ht="15">
      <c r="A88" s="10">
        <v>45047</v>
      </c>
      <c r="B88" s="59">
        <v>120.15</v>
      </c>
      <c r="C88" s="31">
        <v>65</v>
      </c>
      <c r="D88" s="31">
        <f t="shared" si="0"/>
        <v>4.003462454014282</v>
      </c>
      <c r="E88">
        <v>65</v>
      </c>
      <c r="F88">
        <v>65</v>
      </c>
      <c r="G88">
        <v>4.0034624540000001</v>
      </c>
      <c r="H88">
        <v>3.9202624207999999</v>
      </c>
      <c r="I88" t="s">
        <v>263</v>
      </c>
    </row>
    <row r="89" spans="1:9" ht="15">
      <c r="A89" s="10">
        <v>45078</v>
      </c>
      <c r="B89" s="59">
        <v>120.46899999999999</v>
      </c>
      <c r="C89" s="31">
        <v>66</v>
      </c>
      <c r="D89" s="31">
        <f t="shared" si="0"/>
        <v>3.2845213395291317</v>
      </c>
      <c r="E89">
        <v>66</v>
      </c>
      <c r="F89">
        <v>66</v>
      </c>
      <c r="G89">
        <v>3.28452134</v>
      </c>
      <c r="H89">
        <v>3.5972670660000001</v>
      </c>
      <c r="I89" t="s">
        <v>407</v>
      </c>
    </row>
    <row r="90" spans="1:9" ht="15">
      <c r="A90" s="10">
        <v>45108</v>
      </c>
      <c r="B90" s="59">
        <v>120.607</v>
      </c>
      <c r="C90" s="31">
        <v>67</v>
      </c>
      <c r="D90" s="31">
        <f t="shared" ref="D90:D115" si="1">100*(B90-B78)/B78</f>
        <v>3.4090421928989714</v>
      </c>
      <c r="E90">
        <v>67</v>
      </c>
      <c r="F90">
        <v>67</v>
      </c>
      <c r="G90">
        <v>3.4090421929999999</v>
      </c>
      <c r="H90">
        <v>3.2742717111999999</v>
      </c>
      <c r="I90" t="s">
        <v>408</v>
      </c>
    </row>
    <row r="91" spans="1:9" ht="15">
      <c r="A91" s="16">
        <v>45139</v>
      </c>
      <c r="B91" s="59">
        <v>120.97</v>
      </c>
      <c r="C91" s="31">
        <v>68</v>
      </c>
      <c r="D91" s="31">
        <f t="shared" si="1"/>
        <v>3.4320599199698996</v>
      </c>
      <c r="E91">
        <v>68</v>
      </c>
      <c r="F91">
        <v>68</v>
      </c>
      <c r="G91">
        <v>3.4320599199999999</v>
      </c>
      <c r="H91">
        <v>3.4899922596000001</v>
      </c>
      <c r="I91" t="s">
        <v>409</v>
      </c>
    </row>
    <row r="92" spans="1:9" ht="15">
      <c r="A92" s="10">
        <v>45170</v>
      </c>
      <c r="B92" s="59">
        <v>121.419</v>
      </c>
      <c r="C92" s="31">
        <v>69</v>
      </c>
      <c r="D92" s="31">
        <f t="shared" si="1"/>
        <v>3.448892827018601</v>
      </c>
      <c r="E92">
        <v>69</v>
      </c>
      <c r="F92">
        <v>69</v>
      </c>
      <c r="G92">
        <v>3.4488928269999999</v>
      </c>
      <c r="H92">
        <v>3.2886531622000001</v>
      </c>
      <c r="I92" t="s">
        <v>273</v>
      </c>
    </row>
    <row r="93" spans="1:9" ht="15">
      <c r="A93" s="10">
        <v>45200</v>
      </c>
      <c r="B93" s="59">
        <v>121.48399999999999</v>
      </c>
      <c r="C93" s="31">
        <v>70</v>
      </c>
      <c r="D93" s="31">
        <f t="shared" si="1"/>
        <v>3.0232617305099243</v>
      </c>
      <c r="E93">
        <v>70</v>
      </c>
      <c r="F93">
        <v>70</v>
      </c>
      <c r="G93">
        <v>3.0232617309999998</v>
      </c>
      <c r="H93">
        <v>3.0873140648000001</v>
      </c>
      <c r="I93" t="s">
        <v>274</v>
      </c>
    </row>
    <row r="94" spans="1:9" ht="15">
      <c r="A94" s="10">
        <v>45231</v>
      </c>
      <c r="B94" s="59">
        <v>121.49299999999999</v>
      </c>
      <c r="C94" s="31">
        <v>71</v>
      </c>
      <c r="D94" s="31">
        <f t="shared" si="1"/>
        <v>2.7650899986466295</v>
      </c>
      <c r="E94">
        <v>71</v>
      </c>
      <c r="F94">
        <v>71</v>
      </c>
      <c r="G94">
        <v>2.7650899990000002</v>
      </c>
      <c r="H94">
        <v>2.8859749674000001</v>
      </c>
      <c r="I94" t="s">
        <v>410</v>
      </c>
    </row>
    <row r="95" spans="1:9" ht="15">
      <c r="A95" s="10">
        <v>45261</v>
      </c>
      <c r="B95" s="59">
        <v>121.66</v>
      </c>
      <c r="C95" s="31">
        <v>72</v>
      </c>
      <c r="D95" s="31">
        <f t="shared" si="1"/>
        <v>2.7672658467360423</v>
      </c>
      <c r="E95">
        <v>72</v>
      </c>
      <c r="F95">
        <v>72</v>
      </c>
      <c r="G95">
        <v>2.767265847</v>
      </c>
      <c r="H95">
        <v>2.6846358700000001</v>
      </c>
      <c r="I95" t="s">
        <v>411</v>
      </c>
    </row>
    <row r="96" spans="1:9" ht="15">
      <c r="A96" s="16">
        <v>45292</v>
      </c>
      <c r="B96" s="59">
        <v>122.23</v>
      </c>
      <c r="C96" s="14">
        <v>73</v>
      </c>
      <c r="D96" s="14">
        <f t="shared" si="1"/>
        <v>2.6987514493606035</v>
      </c>
      <c r="E96">
        <v>73</v>
      </c>
      <c r="F96">
        <v>73</v>
      </c>
      <c r="G96">
        <v>2.698751449</v>
      </c>
      <c r="H96">
        <v>2.8644340452999999</v>
      </c>
      <c r="I96" t="s">
        <v>412</v>
      </c>
    </row>
    <row r="97" spans="1:12" ht="15">
      <c r="A97" s="10">
        <v>45323</v>
      </c>
      <c r="B97" s="59">
        <v>122.598</v>
      </c>
      <c r="C97" s="31">
        <v>74</v>
      </c>
      <c r="D97" s="31">
        <f t="shared" si="1"/>
        <v>2.7050574269701508</v>
      </c>
      <c r="E97">
        <v>74</v>
      </c>
      <c r="F97">
        <v>74</v>
      </c>
      <c r="G97">
        <v>2.7050574269999998</v>
      </c>
      <c r="H97">
        <v>2.8048834963</v>
      </c>
      <c r="I97" t="s">
        <v>339</v>
      </c>
    </row>
    <row r="98" spans="1:12" ht="15">
      <c r="A98" s="10">
        <v>45352</v>
      </c>
      <c r="B98" s="59">
        <v>123.038</v>
      </c>
      <c r="C98" s="31">
        <v>75</v>
      </c>
      <c r="D98" s="31">
        <f t="shared" si="1"/>
        <v>2.9279392327126104</v>
      </c>
      <c r="E98">
        <v>75</v>
      </c>
      <c r="F98">
        <v>75</v>
      </c>
      <c r="G98">
        <v>2.927939233</v>
      </c>
      <c r="H98">
        <v>2.7453329472000001</v>
      </c>
      <c r="I98" t="s">
        <v>340</v>
      </c>
    </row>
    <row r="99" spans="1:12" ht="15">
      <c r="A99" s="10">
        <v>45383</v>
      </c>
      <c r="B99" s="59">
        <v>123.34099999999999</v>
      </c>
      <c r="C99" s="31">
        <v>76</v>
      </c>
      <c r="D99" s="31">
        <f t="shared" si="1"/>
        <v>2.8261540128885967</v>
      </c>
      <c r="E99">
        <v>76</v>
      </c>
      <c r="F99">
        <v>76</v>
      </c>
      <c r="G99">
        <v>2.826154013</v>
      </c>
      <c r="H99">
        <v>2.6857823982000002</v>
      </c>
      <c r="I99" t="s">
        <v>413</v>
      </c>
    </row>
    <row r="100" spans="1:12" ht="15">
      <c r="A100" s="10">
        <v>45413</v>
      </c>
      <c r="B100" s="59">
        <v>123.348</v>
      </c>
      <c r="C100" s="31">
        <v>77</v>
      </c>
      <c r="D100" s="31">
        <f t="shared" si="1"/>
        <v>2.6616729088639146</v>
      </c>
      <c r="E100">
        <v>77</v>
      </c>
      <c r="F100">
        <v>77</v>
      </c>
      <c r="G100">
        <v>2.661672909</v>
      </c>
      <c r="H100">
        <v>2.6262318490999998</v>
      </c>
      <c r="I100" t="s">
        <v>414</v>
      </c>
    </row>
    <row r="101" spans="1:12" ht="15">
      <c r="A101" s="10">
        <v>45444</v>
      </c>
      <c r="B101" s="59">
        <v>123.539</v>
      </c>
      <c r="C101" s="31">
        <v>78</v>
      </c>
      <c r="D101" s="31">
        <f t="shared" si="1"/>
        <v>2.5483734404701686</v>
      </c>
      <c r="E101">
        <v>78</v>
      </c>
      <c r="F101">
        <v>78</v>
      </c>
      <c r="G101">
        <v>2.5483734400000002</v>
      </c>
      <c r="H101">
        <v>2.5666813001</v>
      </c>
      <c r="I101" t="s">
        <v>415</v>
      </c>
    </row>
    <row r="102" spans="1:12" ht="15">
      <c r="A102" s="10">
        <v>45474</v>
      </c>
      <c r="B102" s="59">
        <v>123.736</v>
      </c>
      <c r="C102" s="31">
        <v>79</v>
      </c>
      <c r="D102" s="31">
        <f t="shared" si="1"/>
        <v>2.5943767774673154</v>
      </c>
      <c r="E102">
        <v>79</v>
      </c>
      <c r="F102">
        <v>79</v>
      </c>
      <c r="G102">
        <v>2.5943767769999999</v>
      </c>
      <c r="H102">
        <v>2.507130751</v>
      </c>
      <c r="I102" t="s">
        <v>425</v>
      </c>
    </row>
    <row r="103" spans="1:12" ht="15">
      <c r="A103" s="10">
        <v>45505</v>
      </c>
      <c r="B103" s="59">
        <v>123.889</v>
      </c>
      <c r="C103" s="31">
        <v>80</v>
      </c>
      <c r="D103" s="31">
        <f t="shared" si="1"/>
        <v>2.412994957427459</v>
      </c>
      <c r="E103">
        <v>80</v>
      </c>
      <c r="F103">
        <v>80</v>
      </c>
      <c r="G103">
        <v>2.412994957</v>
      </c>
      <c r="H103">
        <v>2.4475802020000001</v>
      </c>
      <c r="I103" t="s">
        <v>426</v>
      </c>
    </row>
    <row r="104" spans="1:12" ht="15">
      <c r="A104" s="10">
        <v>45536</v>
      </c>
      <c r="B104" s="59">
        <v>124.164</v>
      </c>
      <c r="C104" s="31">
        <v>81</v>
      </c>
      <c r="D104" s="31">
        <f t="shared" si="1"/>
        <v>2.2607664368838525</v>
      </c>
      <c r="E104">
        <v>81</v>
      </c>
      <c r="F104">
        <v>81</v>
      </c>
      <c r="G104">
        <v>2.260766437</v>
      </c>
      <c r="H104">
        <v>2.3880296528999998</v>
      </c>
      <c r="I104" t="s">
        <v>427</v>
      </c>
    </row>
    <row r="105" spans="1:12" ht="15">
      <c r="A105" s="16">
        <v>45566</v>
      </c>
      <c r="B105" s="59">
        <v>124.494</v>
      </c>
      <c r="C105" s="14">
        <v>82</v>
      </c>
      <c r="D105" s="14">
        <f t="shared" si="1"/>
        <v>2.4776925356425581</v>
      </c>
      <c r="E105">
        <v>82</v>
      </c>
      <c r="F105">
        <v>82</v>
      </c>
      <c r="G105">
        <v>2.4776925360000002</v>
      </c>
      <c r="H105">
        <v>2.5252588901999999</v>
      </c>
      <c r="I105" t="s">
        <v>428</v>
      </c>
    </row>
    <row r="106" spans="1:12" ht="15">
      <c r="A106" s="10">
        <v>45597</v>
      </c>
      <c r="B106" s="59">
        <v>124.637</v>
      </c>
      <c r="C106" s="31">
        <v>83</v>
      </c>
      <c r="D106" s="31">
        <f t="shared" si="1"/>
        <v>2.5878034125422911</v>
      </c>
      <c r="E106">
        <v>83</v>
      </c>
      <c r="F106">
        <v>83</v>
      </c>
      <c r="G106">
        <v>2.5878034130000001</v>
      </c>
      <c r="H106">
        <v>2.5737749292999998</v>
      </c>
      <c r="I106" t="s">
        <v>429</v>
      </c>
    </row>
    <row r="107" spans="1:12" ht="15">
      <c r="A107" s="10">
        <v>45627</v>
      </c>
      <c r="B107" s="59">
        <v>124.979</v>
      </c>
      <c r="C107" s="31">
        <v>84</v>
      </c>
      <c r="D107" s="31">
        <f t="shared" si="1"/>
        <v>2.7280946901200087</v>
      </c>
      <c r="E107">
        <v>84</v>
      </c>
      <c r="F107">
        <v>84</v>
      </c>
      <c r="G107">
        <v>2.7280946899999998</v>
      </c>
      <c r="H107">
        <v>2.6222909684000002</v>
      </c>
    </row>
    <row r="108" spans="1:12" ht="15">
      <c r="A108" s="10">
        <v>45658</v>
      </c>
      <c r="B108" s="59">
        <v>125.417</v>
      </c>
      <c r="C108" s="31">
        <v>85</v>
      </c>
      <c r="D108" s="31">
        <f t="shared" si="1"/>
        <v>2.6073795303935183</v>
      </c>
      <c r="E108">
        <v>85</v>
      </c>
      <c r="F108">
        <v>85</v>
      </c>
      <c r="G108">
        <v>2.6073795299999998</v>
      </c>
      <c r="H108">
        <v>2.6708070075000001</v>
      </c>
      <c r="I108" t="s">
        <v>182</v>
      </c>
    </row>
    <row r="109" spans="1:12" ht="15">
      <c r="A109" s="10">
        <v>45689</v>
      </c>
      <c r="B109" s="59">
        <v>125.92100000000001</v>
      </c>
      <c r="C109" s="31">
        <v>86</v>
      </c>
      <c r="D109" s="31">
        <f t="shared" si="1"/>
        <v>2.7104846734857073</v>
      </c>
      <c r="E109">
        <v>86</v>
      </c>
      <c r="F109">
        <v>86</v>
      </c>
      <c r="G109">
        <v>2.7104846729999998</v>
      </c>
      <c r="H109">
        <v>2.7193230466</v>
      </c>
      <c r="I109" t="s">
        <v>184</v>
      </c>
      <c r="J109" t="s">
        <v>185</v>
      </c>
      <c r="K109" t="s">
        <v>186</v>
      </c>
      <c r="L109" t="s">
        <v>187</v>
      </c>
    </row>
    <row r="110" spans="1:12" ht="15">
      <c r="A110" s="50">
        <v>45717</v>
      </c>
      <c r="B110" s="59">
        <v>125.941</v>
      </c>
      <c r="C110" s="52">
        <v>87</v>
      </c>
      <c r="D110" s="52">
        <f t="shared" si="1"/>
        <v>2.3594336708984263</v>
      </c>
      <c r="E110">
        <v>87</v>
      </c>
      <c r="F110">
        <v>87</v>
      </c>
      <c r="G110">
        <v>2.3594336710000001</v>
      </c>
      <c r="H110">
        <v>2.2933124360999999</v>
      </c>
      <c r="I110" t="s">
        <v>188</v>
      </c>
      <c r="J110">
        <v>29</v>
      </c>
      <c r="K110">
        <v>34.668669053999999</v>
      </c>
      <c r="L110">
        <v>1.1954713467</v>
      </c>
    </row>
    <row r="111" spans="1:12" ht="15">
      <c r="A111" s="10">
        <v>45748</v>
      </c>
      <c r="B111" s="59">
        <v>126.15</v>
      </c>
      <c r="C111" s="31">
        <v>88</v>
      </c>
      <c r="D111" s="31">
        <f t="shared" si="1"/>
        <v>2.2774259978433871</v>
      </c>
      <c r="E111">
        <v>88</v>
      </c>
      <c r="F111">
        <v>88</v>
      </c>
      <c r="G111">
        <v>2.277425998</v>
      </c>
      <c r="H111">
        <v>2.3773014657</v>
      </c>
      <c r="I111" t="s">
        <v>189</v>
      </c>
      <c r="J111">
        <v>63</v>
      </c>
      <c r="K111">
        <v>2.0205791960999999</v>
      </c>
      <c r="L111">
        <v>3.2072685699999999E-2</v>
      </c>
    </row>
    <row r="112" spans="1:12" ht="15">
      <c r="A112" s="10">
        <v>45778</v>
      </c>
      <c r="B112" s="59">
        <v>126.38</v>
      </c>
      <c r="C112" s="31">
        <v>89</v>
      </c>
      <c r="D112" s="31">
        <f t="shared" si="1"/>
        <v>2.4580860654408636</v>
      </c>
      <c r="E112">
        <v>89</v>
      </c>
      <c r="F112">
        <v>89</v>
      </c>
      <c r="G112">
        <v>2.4580860649999998</v>
      </c>
      <c r="H112">
        <v>2.4612904954000001</v>
      </c>
      <c r="I112" t="s">
        <v>190</v>
      </c>
      <c r="J112">
        <v>92</v>
      </c>
      <c r="K112">
        <v>297.34801979029999</v>
      </c>
    </row>
    <row r="113" spans="1:11" ht="15">
      <c r="A113" s="10">
        <v>45809</v>
      </c>
      <c r="B113" s="59">
        <v>126.74299999999999</v>
      </c>
      <c r="C113" s="31">
        <v>90</v>
      </c>
      <c r="D113" s="31">
        <f t="shared" si="1"/>
        <v>2.5935129797068082</v>
      </c>
      <c r="E113">
        <v>90</v>
      </c>
      <c r="F113">
        <v>90</v>
      </c>
      <c r="G113">
        <v>2.5935129799999999</v>
      </c>
      <c r="H113">
        <v>2.5452795250000002</v>
      </c>
      <c r="I113" t="s">
        <v>439</v>
      </c>
    </row>
    <row r="114" spans="1:11" ht="15">
      <c r="A114" s="10">
        <v>45839</v>
      </c>
      <c r="B114" s="59">
        <v>126.955</v>
      </c>
      <c r="C114" s="31">
        <v>91</v>
      </c>
      <c r="D114" s="31">
        <f t="shared" si="1"/>
        <v>2.6015064330510071</v>
      </c>
      <c r="E114">
        <v>91</v>
      </c>
      <c r="F114">
        <v>91</v>
      </c>
      <c r="G114">
        <v>2.601506433</v>
      </c>
      <c r="H114">
        <v>2.6292685545999999</v>
      </c>
    </row>
    <row r="115" spans="1:11" ht="15">
      <c r="A115" s="10">
        <v>45870</v>
      </c>
      <c r="B115" s="59">
        <v>127.283</v>
      </c>
      <c r="C115" s="31">
        <v>92</v>
      </c>
      <c r="D115" s="31">
        <f t="shared" si="1"/>
        <v>2.7395491125120111</v>
      </c>
      <c r="E115">
        <v>92</v>
      </c>
      <c r="F115">
        <v>92</v>
      </c>
      <c r="G115">
        <v>2.7395491129999998</v>
      </c>
      <c r="H115">
        <v>2.7132575843</v>
      </c>
      <c r="K115" s="31">
        <f>1-(K111/K112)</f>
        <v>0.99320466570611443</v>
      </c>
    </row>
    <row r="116" spans="1:11" ht="15">
      <c r="A116" s="10">
        <v>45901</v>
      </c>
      <c r="B116" s="59">
        <v>127.625</v>
      </c>
      <c r="C116" s="31">
        <v>93</v>
      </c>
      <c r="D116" s="31">
        <f t="shared" ref="D116" si="2">100*(B116-B104)/B104</f>
        <v>2.7874424148706538</v>
      </c>
      <c r="E116">
        <v>93</v>
      </c>
      <c r="F116">
        <v>93</v>
      </c>
      <c r="G116">
        <v>2.7874424150000001</v>
      </c>
      <c r="H116">
        <v>2.7972466139000001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FCC6-401D-487A-8411-6971D89823D5}">
  <dimension ref="A1:X115"/>
  <sheetViews>
    <sheetView topLeftCell="A97" workbookViewId="0">
      <selection activeCell="K115" sqref="K115"/>
    </sheetView>
  </sheetViews>
  <sheetFormatPr defaultRowHeight="13.2"/>
  <cols>
    <col min="1" max="1" width="11.44140625" customWidth="1"/>
    <col min="2" max="3" width="8.88671875" customWidth="1"/>
  </cols>
  <sheetData>
    <row r="1" spans="1:24" s="38" customFormat="1" ht="39.6">
      <c r="A1" s="38" t="s">
        <v>0</v>
      </c>
      <c r="P1" s="62" t="s">
        <v>430</v>
      </c>
      <c r="Q1" s="64" t="s">
        <v>431</v>
      </c>
      <c r="R1" s="64" t="s">
        <v>432</v>
      </c>
      <c r="S1" s="64" t="s">
        <v>433</v>
      </c>
      <c r="T1" s="64" t="s">
        <v>434</v>
      </c>
      <c r="U1" s="64" t="s">
        <v>435</v>
      </c>
      <c r="V1" s="64" t="s">
        <v>436</v>
      </c>
      <c r="W1" s="62" t="s">
        <v>437</v>
      </c>
      <c r="X1" s="62" t="s">
        <v>438</v>
      </c>
    </row>
    <row r="2" spans="1:24" s="38" customFormat="1">
      <c r="A2" s="38" t="s">
        <v>302</v>
      </c>
      <c r="P2" s="65">
        <v>1</v>
      </c>
      <c r="Q2" s="63">
        <v>5</v>
      </c>
      <c r="R2" s="67">
        <v>1.6134360000000001</v>
      </c>
      <c r="S2" s="67">
        <v>0.122613</v>
      </c>
      <c r="T2" s="67">
        <v>0.96128599999999997</v>
      </c>
      <c r="U2" s="67">
        <v>2.0179999999999998E-3</v>
      </c>
      <c r="V2" s="67">
        <v>4.4925E-2</v>
      </c>
      <c r="W2" s="66">
        <v>43101</v>
      </c>
      <c r="X2" s="66">
        <v>43221</v>
      </c>
    </row>
    <row r="3" spans="1:24" s="38" customFormat="1">
      <c r="A3" s="38" t="s">
        <v>2</v>
      </c>
      <c r="P3" s="65">
        <v>2</v>
      </c>
      <c r="Q3" s="63">
        <v>7</v>
      </c>
      <c r="R3" s="67">
        <v>2.7790080000000001</v>
      </c>
      <c r="S3" s="67">
        <v>-7.6128000000000001E-2</v>
      </c>
      <c r="T3" s="67">
        <v>0.89094499999999999</v>
      </c>
      <c r="U3" s="67">
        <v>3.973E-3</v>
      </c>
      <c r="V3" s="67">
        <v>6.3029000000000002E-2</v>
      </c>
      <c r="W3" s="66">
        <v>43252</v>
      </c>
      <c r="X3" s="66">
        <v>43435</v>
      </c>
    </row>
    <row r="4" spans="1:24" s="38" customFormat="1">
      <c r="A4" s="38" t="s">
        <v>3</v>
      </c>
      <c r="P4" s="65">
        <v>3</v>
      </c>
      <c r="Q4" s="63">
        <v>5</v>
      </c>
      <c r="R4" s="67">
        <v>1.12673</v>
      </c>
      <c r="S4" s="67">
        <v>2.3361E-2</v>
      </c>
      <c r="T4" s="67">
        <v>0.30213200000000001</v>
      </c>
      <c r="U4" s="67">
        <v>4.202E-3</v>
      </c>
      <c r="V4" s="67">
        <v>6.4821000000000004E-2</v>
      </c>
      <c r="W4" s="66">
        <v>43466</v>
      </c>
      <c r="X4" s="66">
        <v>43586</v>
      </c>
    </row>
    <row r="5" spans="1:24" s="38" customFormat="1">
      <c r="A5" s="38" t="s">
        <v>303</v>
      </c>
      <c r="P5" s="65">
        <v>4</v>
      </c>
      <c r="Q5" s="63">
        <v>5</v>
      </c>
      <c r="R5" s="67">
        <v>2.2665500000000001</v>
      </c>
      <c r="S5" s="67">
        <v>-4.4498000000000003E-2</v>
      </c>
      <c r="T5" s="67">
        <v>0.71594899999999995</v>
      </c>
      <c r="U5" s="67">
        <v>2.6189999999999998E-3</v>
      </c>
      <c r="V5" s="67">
        <v>5.1173000000000003E-2</v>
      </c>
      <c r="W5" s="66">
        <v>43617</v>
      </c>
      <c r="X5" s="66">
        <v>43739</v>
      </c>
    </row>
    <row r="6" spans="1:24" s="38" customFormat="1">
      <c r="A6" s="38" t="s">
        <v>383</v>
      </c>
      <c r="P6" s="65">
        <v>5</v>
      </c>
      <c r="Q6" s="63">
        <v>8</v>
      </c>
      <c r="R6" s="67">
        <v>5.6018129999999999</v>
      </c>
      <c r="S6" s="67">
        <v>-0.167597</v>
      </c>
      <c r="T6" s="67">
        <v>0.59567000000000003</v>
      </c>
      <c r="U6" s="67">
        <v>0.133462</v>
      </c>
      <c r="V6" s="67">
        <v>0.36532500000000001</v>
      </c>
      <c r="W6" s="66">
        <v>43770</v>
      </c>
      <c r="X6" s="66">
        <v>43983</v>
      </c>
    </row>
    <row r="7" spans="1:24" s="38" customFormat="1">
      <c r="P7" s="65">
        <v>6</v>
      </c>
      <c r="Q7" s="63">
        <v>8</v>
      </c>
      <c r="R7" s="67">
        <v>-2.2844389999999999</v>
      </c>
      <c r="S7" s="67">
        <v>0.10423499999999999</v>
      </c>
      <c r="T7" s="67">
        <v>0.80730999999999997</v>
      </c>
      <c r="U7" s="67">
        <v>1.8152999999999999E-2</v>
      </c>
      <c r="V7" s="67">
        <v>0.13473199999999999</v>
      </c>
      <c r="W7" s="66">
        <v>44013</v>
      </c>
      <c r="X7" s="66">
        <v>44228</v>
      </c>
    </row>
    <row r="8" spans="1:24" s="38" customFormat="1">
      <c r="A8" s="38" t="s">
        <v>6</v>
      </c>
      <c r="B8" s="38" t="s">
        <v>7</v>
      </c>
      <c r="C8" s="38" t="s">
        <v>384</v>
      </c>
      <c r="P8" s="65">
        <v>7</v>
      </c>
      <c r="Q8" s="63">
        <v>5</v>
      </c>
      <c r="R8" s="67">
        <v>-13.692252</v>
      </c>
      <c r="S8" s="67">
        <v>0.42742599999999997</v>
      </c>
      <c r="T8" s="67">
        <v>0.87703100000000001</v>
      </c>
      <c r="U8" s="67">
        <v>8.5385000000000003E-2</v>
      </c>
      <c r="V8" s="67">
        <v>0.29220699999999999</v>
      </c>
      <c r="W8" s="66">
        <v>44256</v>
      </c>
      <c r="X8" s="66">
        <v>44378</v>
      </c>
    </row>
    <row r="9" spans="1:24">
      <c r="P9" s="65">
        <v>8</v>
      </c>
      <c r="Q9" s="63">
        <v>5</v>
      </c>
      <c r="R9" s="67">
        <v>-14.503126999999999</v>
      </c>
      <c r="S9" s="67">
        <v>0.43148799999999998</v>
      </c>
      <c r="T9" s="67">
        <v>0.96434200000000003</v>
      </c>
      <c r="U9" s="67">
        <v>2.2948E-2</v>
      </c>
      <c r="V9" s="67">
        <v>0.15148500000000001</v>
      </c>
      <c r="W9" s="66">
        <v>44409</v>
      </c>
      <c r="X9" s="66">
        <v>44531</v>
      </c>
    </row>
    <row r="10" spans="1:24">
      <c r="P10" s="65">
        <v>9</v>
      </c>
      <c r="Q10" s="63">
        <v>6</v>
      </c>
      <c r="R10" s="67">
        <v>-1.143146</v>
      </c>
      <c r="S10" s="67">
        <v>0.15315899999999999</v>
      </c>
      <c r="T10" s="67">
        <v>0.74560400000000004</v>
      </c>
      <c r="U10" s="67">
        <v>3.5015999999999999E-2</v>
      </c>
      <c r="V10" s="67">
        <v>0.18712500000000001</v>
      </c>
      <c r="W10" s="66">
        <v>44562</v>
      </c>
      <c r="X10" s="66">
        <v>44713</v>
      </c>
    </row>
    <row r="11" spans="1:24" ht="15">
      <c r="A11" s="46" t="s">
        <v>9</v>
      </c>
      <c r="B11" s="46" t="s">
        <v>6</v>
      </c>
      <c r="P11" s="65">
        <v>10</v>
      </c>
      <c r="Q11" s="63">
        <v>8</v>
      </c>
      <c r="R11" s="67">
        <v>20.304966</v>
      </c>
      <c r="S11" s="67">
        <v>-0.242872</v>
      </c>
      <c r="T11" s="67">
        <v>0.92678799999999995</v>
      </c>
      <c r="U11" s="67">
        <v>3.2618000000000001E-2</v>
      </c>
      <c r="V11" s="67">
        <v>0.18060399999999999</v>
      </c>
      <c r="W11" s="66">
        <v>44743</v>
      </c>
      <c r="X11" s="66">
        <v>44958</v>
      </c>
    </row>
    <row r="12" spans="1:24">
      <c r="A12" s="32">
        <v>42736</v>
      </c>
      <c r="B12" s="33">
        <v>99.450999999999993</v>
      </c>
      <c r="P12" s="65">
        <v>11</v>
      </c>
      <c r="Q12" s="63">
        <v>5</v>
      </c>
      <c r="R12" s="67">
        <v>24.914960000000001</v>
      </c>
      <c r="S12" s="67">
        <v>-0.32299499999999998</v>
      </c>
      <c r="T12" s="67">
        <v>0.84176700000000004</v>
      </c>
      <c r="U12" s="67">
        <v>6.5369999999999998E-2</v>
      </c>
      <c r="V12" s="67">
        <v>0.25567499999999999</v>
      </c>
      <c r="W12" s="66">
        <v>44986</v>
      </c>
      <c r="X12" s="66">
        <v>45108</v>
      </c>
    </row>
    <row r="13" spans="1:24">
      <c r="A13" s="32">
        <v>42767</v>
      </c>
      <c r="B13" s="33">
        <v>99.585999999999999</v>
      </c>
      <c r="P13" s="65">
        <v>12</v>
      </c>
      <c r="Q13" s="63">
        <v>5</v>
      </c>
      <c r="R13" s="67">
        <v>17.181051</v>
      </c>
      <c r="S13" s="67">
        <v>-0.20133899999999999</v>
      </c>
      <c r="T13" s="67">
        <v>0.88134299999999999</v>
      </c>
      <c r="U13" s="67">
        <v>1.8192E-2</v>
      </c>
      <c r="V13" s="67">
        <v>0.134878</v>
      </c>
      <c r="W13" s="66">
        <v>45139</v>
      </c>
      <c r="X13" s="66">
        <v>45261</v>
      </c>
    </row>
    <row r="14" spans="1:24">
      <c r="A14" s="32">
        <v>42795</v>
      </c>
      <c r="B14" s="33">
        <v>99.534999999999997</v>
      </c>
      <c r="P14" s="65">
        <v>13</v>
      </c>
      <c r="Q14" s="63">
        <v>9</v>
      </c>
      <c r="R14" s="67">
        <v>7.2116239999999996</v>
      </c>
      <c r="S14" s="67">
        <v>-5.9551E-2</v>
      </c>
      <c r="T14" s="67">
        <v>0.645096</v>
      </c>
      <c r="U14" s="67">
        <v>1.6722999999999998E-2</v>
      </c>
      <c r="V14" s="67">
        <v>0.12931699999999999</v>
      </c>
      <c r="W14" s="66">
        <v>45292</v>
      </c>
      <c r="X14" s="66">
        <v>45536</v>
      </c>
    </row>
    <row r="15" spans="1:24">
      <c r="A15" s="32">
        <v>42826</v>
      </c>
      <c r="B15" s="33">
        <v>99.724999999999994</v>
      </c>
      <c r="P15" s="65">
        <v>14</v>
      </c>
      <c r="Q15" s="63">
        <v>5</v>
      </c>
      <c r="R15" s="67">
        <v>-1.4530559999999999</v>
      </c>
      <c r="S15" s="67">
        <v>4.8515999999999997E-2</v>
      </c>
      <c r="T15" s="67">
        <v>0.570025</v>
      </c>
      <c r="U15" s="67">
        <v>5.9179999999999996E-3</v>
      </c>
      <c r="V15" s="67">
        <v>7.6930999999999999E-2</v>
      </c>
      <c r="W15" s="66">
        <v>45566</v>
      </c>
      <c r="X15" s="66">
        <v>45689</v>
      </c>
    </row>
    <row r="16" spans="1:24">
      <c r="A16" s="32">
        <v>42856</v>
      </c>
      <c r="B16" s="33">
        <v>99.682000000000002</v>
      </c>
      <c r="P16" s="65">
        <v>15</v>
      </c>
      <c r="Q16" s="63">
        <v>6</v>
      </c>
      <c r="R16" s="67">
        <v>-5.1715749999999998</v>
      </c>
      <c r="S16" s="67">
        <v>8.5764999999999994E-2</v>
      </c>
      <c r="T16" s="67">
        <v>0.874556</v>
      </c>
      <c r="U16" s="67">
        <v>4.6160000000000003E-3</v>
      </c>
      <c r="V16" s="67">
        <v>6.7941000000000001E-2</v>
      </c>
      <c r="W16" s="66">
        <v>45717</v>
      </c>
      <c r="X16" s="66">
        <v>45870</v>
      </c>
    </row>
    <row r="17" spans="1:9">
      <c r="A17" s="32">
        <v>42887</v>
      </c>
      <c r="B17" s="33">
        <v>99.766000000000005</v>
      </c>
    </row>
    <row r="18" spans="1:9">
      <c r="A18" s="32">
        <v>42917</v>
      </c>
      <c r="B18" s="33">
        <v>99.802999999999997</v>
      </c>
    </row>
    <row r="19" spans="1:9">
      <c r="A19" s="32">
        <v>42948</v>
      </c>
      <c r="B19" s="33">
        <v>100.027</v>
      </c>
    </row>
    <row r="20" spans="1:9">
      <c r="A20" s="32">
        <v>42979</v>
      </c>
      <c r="B20" s="33">
        <v>100.4</v>
      </c>
    </row>
    <row r="21" spans="1:9">
      <c r="A21" s="32">
        <v>43009</v>
      </c>
      <c r="B21" s="33">
        <v>100.53100000000001</v>
      </c>
    </row>
    <row r="22" spans="1:9">
      <c r="A22" s="32">
        <v>43040</v>
      </c>
      <c r="B22" s="33">
        <v>100.675</v>
      </c>
    </row>
    <row r="23" spans="1:9" ht="13.8">
      <c r="A23" s="32">
        <v>43070</v>
      </c>
      <c r="B23" s="33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10">
        <v>43101</v>
      </c>
      <c r="B24" s="33">
        <v>101.199</v>
      </c>
      <c r="C24" s="31">
        <v>1</v>
      </c>
      <c r="D24" s="31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>
      <c r="A25" s="10">
        <v>43132</v>
      </c>
      <c r="B25" s="33">
        <v>101.416</v>
      </c>
      <c r="C25" s="31">
        <v>2</v>
      </c>
      <c r="D25" s="31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385</v>
      </c>
    </row>
    <row r="26" spans="1:9">
      <c r="A26" s="10">
        <v>43160</v>
      </c>
      <c r="B26" s="33">
        <v>101.524</v>
      </c>
      <c r="C26" s="31">
        <v>3</v>
      </c>
      <c r="D26" s="31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10">
        <v>43191</v>
      </c>
      <c r="B27" s="33">
        <v>101.76600000000001</v>
      </c>
      <c r="C27" s="31">
        <v>4</v>
      </c>
      <c r="D27" s="31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10">
        <v>43221</v>
      </c>
      <c r="B28" s="33">
        <v>101.941</v>
      </c>
      <c r="C28" s="31">
        <v>5</v>
      </c>
      <c r="D28" s="31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16">
        <v>43252</v>
      </c>
      <c r="B29" s="33">
        <v>102.029</v>
      </c>
      <c r="C29" s="31">
        <v>6</v>
      </c>
      <c r="D29" s="31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>
      <c r="A30" s="10">
        <v>43282</v>
      </c>
      <c r="B30" s="33">
        <v>102.137</v>
      </c>
      <c r="C30" s="31">
        <v>7</v>
      </c>
      <c r="D30" s="31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10">
        <v>43313</v>
      </c>
      <c r="B31" s="33">
        <v>102.208</v>
      </c>
      <c r="C31" s="31">
        <v>8</v>
      </c>
      <c r="D31" s="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10">
        <v>43344</v>
      </c>
      <c r="B32" s="33">
        <v>102.41800000000001</v>
      </c>
      <c r="C32" s="31">
        <v>9</v>
      </c>
      <c r="D32" s="31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10">
        <v>43374</v>
      </c>
      <c r="B33" s="33">
        <v>102.595</v>
      </c>
      <c r="C33" s="31">
        <v>10</v>
      </c>
      <c r="D33" s="31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10">
        <v>43405</v>
      </c>
      <c r="B34" s="33">
        <v>102.63</v>
      </c>
      <c r="C34" s="31">
        <v>11</v>
      </c>
      <c r="D34" s="31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10">
        <v>43435</v>
      </c>
      <c r="B35" s="33">
        <v>102.70099999999999</v>
      </c>
      <c r="C35" s="31">
        <v>12</v>
      </c>
      <c r="D35" s="31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16">
        <v>43466</v>
      </c>
      <c r="B36" s="33">
        <v>102.648</v>
      </c>
      <c r="C36" s="31">
        <v>13</v>
      </c>
      <c r="D36" s="31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>
      <c r="A37" s="10">
        <v>43497</v>
      </c>
      <c r="B37" s="33">
        <v>102.836</v>
      </c>
      <c r="C37" s="31">
        <v>14</v>
      </c>
      <c r="D37" s="31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>
      <c r="A38" s="10">
        <v>43525</v>
      </c>
      <c r="B38" s="33">
        <v>103.069</v>
      </c>
      <c r="C38" s="31">
        <v>15</v>
      </c>
      <c r="D38" s="31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>
      <c r="A39" s="10">
        <v>43556</v>
      </c>
      <c r="B39" s="33">
        <v>103.36</v>
      </c>
      <c r="C39" s="31">
        <v>16</v>
      </c>
      <c r="D39" s="31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>
      <c r="A40" s="10">
        <v>43586</v>
      </c>
      <c r="B40" s="33">
        <v>103.435</v>
      </c>
      <c r="C40" s="31">
        <v>17</v>
      </c>
      <c r="D40" s="31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>
      <c r="A41" s="16">
        <v>43617</v>
      </c>
      <c r="B41" s="33">
        <v>103.48399999999999</v>
      </c>
      <c r="C41" s="31">
        <v>18</v>
      </c>
      <c r="D41" s="31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>
      <c r="A42" s="10">
        <v>43647</v>
      </c>
      <c r="B42" s="33">
        <v>103.622</v>
      </c>
      <c r="C42" s="31">
        <v>19</v>
      </c>
      <c r="D42" s="31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>
      <c r="A43" s="10">
        <v>43678</v>
      </c>
      <c r="B43" s="33">
        <v>103.67</v>
      </c>
      <c r="C43" s="31">
        <v>20</v>
      </c>
      <c r="D43" s="31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>
      <c r="A44" s="10">
        <v>43709</v>
      </c>
      <c r="B44" s="33">
        <v>103.733</v>
      </c>
      <c r="C44" s="31">
        <v>21</v>
      </c>
      <c r="D44" s="31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>
      <c r="A45" s="10">
        <v>43739</v>
      </c>
      <c r="B45" s="33">
        <v>103.917</v>
      </c>
      <c r="C45" s="31">
        <v>22</v>
      </c>
      <c r="D45" s="31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>
      <c r="A46" s="16">
        <v>43770</v>
      </c>
      <c r="B46" s="33">
        <v>104.024</v>
      </c>
      <c r="C46" s="31">
        <v>23</v>
      </c>
      <c r="D46" s="31">
        <f t="shared" si="0"/>
        <v>1.3582773068303668</v>
      </c>
      <c r="E46">
        <v>23</v>
      </c>
      <c r="F46">
        <v>23</v>
      </c>
      <c r="G46">
        <v>1.358277307</v>
      </c>
      <c r="H46">
        <v>1.7470874236</v>
      </c>
      <c r="I46" t="s">
        <v>223</v>
      </c>
    </row>
    <row r="47" spans="1:9">
      <c r="A47" s="10">
        <v>43800</v>
      </c>
      <c r="B47" s="33">
        <v>104.307</v>
      </c>
      <c r="C47" s="31">
        <v>24</v>
      </c>
      <c r="D47" s="31">
        <f t="shared" si="0"/>
        <v>1.5637627676458932</v>
      </c>
      <c r="E47">
        <v>24</v>
      </c>
      <c r="F47">
        <v>24</v>
      </c>
      <c r="G47">
        <v>1.5637627679999999</v>
      </c>
      <c r="H47">
        <v>1.5794906720999999</v>
      </c>
      <c r="I47" t="s">
        <v>224</v>
      </c>
    </row>
    <row r="48" spans="1:9">
      <c r="A48" s="10">
        <v>43831</v>
      </c>
      <c r="B48" s="33">
        <v>104.49</v>
      </c>
      <c r="C48" s="31">
        <v>25</v>
      </c>
      <c r="D48" s="31">
        <f t="shared" si="0"/>
        <v>1.7944821136310487</v>
      </c>
      <c r="E48">
        <v>25</v>
      </c>
      <c r="F48">
        <v>25</v>
      </c>
      <c r="G48">
        <v>1.794482114</v>
      </c>
      <c r="H48">
        <v>1.4118939205000001</v>
      </c>
      <c r="I48" t="s">
        <v>225</v>
      </c>
    </row>
    <row r="49" spans="1:9">
      <c r="A49" s="10">
        <v>43862</v>
      </c>
      <c r="B49" s="33">
        <v>104.57299999999999</v>
      </c>
      <c r="C49" s="31">
        <v>26</v>
      </c>
      <c r="D49" s="31">
        <f t="shared" si="0"/>
        <v>1.6890972033140095</v>
      </c>
      <c r="E49">
        <v>26</v>
      </c>
      <c r="F49">
        <v>26</v>
      </c>
      <c r="G49">
        <v>1.689097203</v>
      </c>
      <c r="H49">
        <v>1.244297169</v>
      </c>
      <c r="I49" t="s">
        <v>226</v>
      </c>
    </row>
    <row r="50" spans="1:9">
      <c r="A50" s="10">
        <v>43891</v>
      </c>
      <c r="B50" s="33">
        <v>104.271</v>
      </c>
      <c r="C50" s="31">
        <v>27</v>
      </c>
      <c r="D50" s="31">
        <f t="shared" si="0"/>
        <v>1.1662090444265474</v>
      </c>
      <c r="E50">
        <v>27</v>
      </c>
      <c r="F50">
        <v>27</v>
      </c>
      <c r="G50">
        <v>1.1662090439999999</v>
      </c>
      <c r="H50">
        <v>1.0767004174999999</v>
      </c>
      <c r="I50" t="s">
        <v>227</v>
      </c>
    </row>
    <row r="51" spans="1:9">
      <c r="A51" s="10">
        <v>43922</v>
      </c>
      <c r="B51" s="33">
        <v>103.83799999999999</v>
      </c>
      <c r="C51" s="31">
        <v>28</v>
      </c>
      <c r="D51" s="31">
        <f t="shared" si="0"/>
        <v>0.46246130030959215</v>
      </c>
      <c r="E51">
        <v>28</v>
      </c>
      <c r="F51">
        <v>28</v>
      </c>
      <c r="G51">
        <v>0.46246130000000002</v>
      </c>
      <c r="H51">
        <v>0.90910366600000003</v>
      </c>
      <c r="I51" t="s">
        <v>228</v>
      </c>
    </row>
    <row r="52" spans="1:9">
      <c r="A52" s="10">
        <v>43952</v>
      </c>
      <c r="B52" s="33">
        <v>103.94199999999999</v>
      </c>
      <c r="C52" s="31">
        <v>29</v>
      </c>
      <c r="D52" s="31">
        <f t="shared" si="0"/>
        <v>0.49016290423936848</v>
      </c>
      <c r="E52">
        <v>29</v>
      </c>
      <c r="F52">
        <v>29</v>
      </c>
      <c r="G52">
        <v>0.49016290400000001</v>
      </c>
      <c r="H52">
        <v>0.74150691440000005</v>
      </c>
      <c r="I52" t="s">
        <v>229</v>
      </c>
    </row>
    <row r="53" spans="1:9">
      <c r="A53" s="10">
        <v>43983</v>
      </c>
      <c r="B53" s="33">
        <v>104.27</v>
      </c>
      <c r="C53" s="31">
        <v>30</v>
      </c>
      <c r="D53" s="31">
        <f t="shared" si="0"/>
        <v>0.75953770631208828</v>
      </c>
      <c r="E53">
        <v>30</v>
      </c>
      <c r="F53">
        <v>30</v>
      </c>
      <c r="G53">
        <v>0.75953770600000003</v>
      </c>
      <c r="H53">
        <v>0.57391016289999996</v>
      </c>
      <c r="I53" t="s">
        <v>230</v>
      </c>
    </row>
    <row r="54" spans="1:9">
      <c r="A54" s="16">
        <v>44013</v>
      </c>
      <c r="B54" s="33">
        <v>104.578</v>
      </c>
      <c r="C54" s="31">
        <v>31</v>
      </c>
      <c r="D54" s="31">
        <f t="shared" si="0"/>
        <v>0.92258400725714917</v>
      </c>
      <c r="E54">
        <v>31</v>
      </c>
      <c r="F54">
        <v>31</v>
      </c>
      <c r="G54">
        <v>0.92258400699999998</v>
      </c>
      <c r="H54">
        <v>0.94683608340000003</v>
      </c>
      <c r="I54" t="s">
        <v>386</v>
      </c>
    </row>
    <row r="55" spans="1:9">
      <c r="A55" s="10">
        <v>44044</v>
      </c>
      <c r="B55" s="33">
        <v>104.87</v>
      </c>
      <c r="C55" s="31">
        <v>32</v>
      </c>
      <c r="D55" s="31">
        <f t="shared" si="0"/>
        <v>1.1575190508343811</v>
      </c>
      <c r="E55">
        <v>32</v>
      </c>
      <c r="F55">
        <v>32</v>
      </c>
      <c r="G55">
        <v>1.157519051</v>
      </c>
      <c r="H55">
        <v>1.0510707502000001</v>
      </c>
      <c r="I55" t="s">
        <v>387</v>
      </c>
    </row>
    <row r="56" spans="1:9">
      <c r="A56" s="10">
        <v>44075</v>
      </c>
      <c r="B56" s="33">
        <v>105.057</v>
      </c>
      <c r="C56" s="31">
        <v>33</v>
      </c>
      <c r="D56" s="31">
        <f t="shared" si="0"/>
        <v>1.2763537157895732</v>
      </c>
      <c r="E56">
        <v>33</v>
      </c>
      <c r="F56">
        <v>33</v>
      </c>
      <c r="G56">
        <v>1.276353716</v>
      </c>
      <c r="H56">
        <v>1.1553054169999999</v>
      </c>
      <c r="I56" t="s">
        <v>388</v>
      </c>
    </row>
    <row r="57" spans="1:9">
      <c r="A57" s="10">
        <v>44105</v>
      </c>
      <c r="B57" s="33">
        <v>105.151</v>
      </c>
      <c r="C57" s="31">
        <v>34</v>
      </c>
      <c r="D57" s="31">
        <f t="shared" si="0"/>
        <v>1.1874861668446881</v>
      </c>
      <c r="E57">
        <v>34</v>
      </c>
      <c r="F57">
        <v>34</v>
      </c>
      <c r="G57">
        <v>1.1874861670000001</v>
      </c>
      <c r="H57">
        <v>1.2595400836999999</v>
      </c>
      <c r="I57" t="s">
        <v>234</v>
      </c>
    </row>
    <row r="58" spans="1:9">
      <c r="A58" s="10">
        <v>44136</v>
      </c>
      <c r="B58" s="33">
        <v>105.258</v>
      </c>
      <c r="C58" s="31">
        <v>35</v>
      </c>
      <c r="D58" s="31">
        <f t="shared" si="0"/>
        <v>1.1862647081442692</v>
      </c>
      <c r="E58">
        <v>35</v>
      </c>
      <c r="F58">
        <v>35</v>
      </c>
      <c r="G58">
        <v>1.1862647079999999</v>
      </c>
      <c r="H58">
        <v>1.3637747505</v>
      </c>
      <c r="I58" t="s">
        <v>109</v>
      </c>
    </row>
    <row r="59" spans="1:9">
      <c r="A59" s="10">
        <v>44166</v>
      </c>
      <c r="B59" s="33">
        <v>105.699</v>
      </c>
      <c r="C59" s="31">
        <v>36</v>
      </c>
      <c r="D59" s="31">
        <f t="shared" si="0"/>
        <v>1.3345221317840565</v>
      </c>
      <c r="E59">
        <v>36</v>
      </c>
      <c r="F59">
        <v>36</v>
      </c>
      <c r="G59">
        <v>1.334522132</v>
      </c>
      <c r="H59">
        <v>1.4680094173</v>
      </c>
      <c r="I59" t="s">
        <v>389</v>
      </c>
    </row>
    <row r="60" spans="1:9">
      <c r="A60" s="10">
        <v>44197</v>
      </c>
      <c r="B60" s="33">
        <v>106.14700000000001</v>
      </c>
      <c r="C60" s="31">
        <v>37</v>
      </c>
      <c r="D60" s="31">
        <f t="shared" si="0"/>
        <v>1.5857976839889087</v>
      </c>
      <c r="E60">
        <v>37</v>
      </c>
      <c r="F60">
        <v>37</v>
      </c>
      <c r="G60">
        <v>1.5857976840000001</v>
      </c>
      <c r="H60">
        <v>1.5722440841</v>
      </c>
      <c r="I60" t="s">
        <v>390</v>
      </c>
    </row>
    <row r="61" spans="1:9">
      <c r="A61" s="10">
        <v>44228</v>
      </c>
      <c r="B61" s="33">
        <v>106.5</v>
      </c>
      <c r="C61" s="31">
        <v>38</v>
      </c>
      <c r="D61" s="31">
        <f t="shared" si="0"/>
        <v>1.8427318715155985</v>
      </c>
      <c r="E61">
        <v>38</v>
      </c>
      <c r="F61">
        <v>38</v>
      </c>
      <c r="G61">
        <v>1.8427318720000001</v>
      </c>
      <c r="H61">
        <v>1.6764787508000001</v>
      </c>
      <c r="I61" t="s">
        <v>391</v>
      </c>
    </row>
    <row r="62" spans="1:9">
      <c r="A62" s="16">
        <v>44256</v>
      </c>
      <c r="B62" s="33">
        <v>107.054</v>
      </c>
      <c r="C62" s="31">
        <v>39</v>
      </c>
      <c r="D62" s="31">
        <f t="shared" si="0"/>
        <v>2.6690067228663783</v>
      </c>
      <c r="E62">
        <v>39</v>
      </c>
      <c r="F62">
        <v>39</v>
      </c>
      <c r="G62">
        <v>2.6690067229999999</v>
      </c>
      <c r="H62">
        <v>2.9773678308</v>
      </c>
      <c r="I62" t="s">
        <v>238</v>
      </c>
    </row>
    <row r="63" spans="1:9">
      <c r="A63" s="10">
        <v>44287</v>
      </c>
      <c r="B63" s="33">
        <v>107.61799999999999</v>
      </c>
      <c r="C63" s="31">
        <v>40</v>
      </c>
      <c r="D63" s="31">
        <f t="shared" si="0"/>
        <v>3.6402858298503453</v>
      </c>
      <c r="E63">
        <v>40</v>
      </c>
      <c r="F63">
        <v>40</v>
      </c>
      <c r="G63">
        <v>3.6402858299999998</v>
      </c>
      <c r="H63">
        <v>3.4047939680999999</v>
      </c>
      <c r="I63" t="s">
        <v>110</v>
      </c>
    </row>
    <row r="64" spans="1:9">
      <c r="A64" s="10">
        <v>44317</v>
      </c>
      <c r="B64" s="33">
        <v>108.175</v>
      </c>
      <c r="C64" s="31">
        <v>41</v>
      </c>
      <c r="D64" s="31">
        <f t="shared" si="0"/>
        <v>4.072463489253626</v>
      </c>
      <c r="E64">
        <v>41</v>
      </c>
      <c r="F64">
        <v>41</v>
      </c>
      <c r="G64">
        <v>4.0724634890000004</v>
      </c>
      <c r="H64">
        <v>3.8322201053999998</v>
      </c>
      <c r="I64" t="s">
        <v>392</v>
      </c>
    </row>
    <row r="65" spans="1:9">
      <c r="A65" s="10">
        <v>44348</v>
      </c>
      <c r="B65" s="33">
        <v>108.76</v>
      </c>
      <c r="C65" s="31">
        <v>42</v>
      </c>
      <c r="D65" s="31">
        <f t="shared" si="0"/>
        <v>4.3061283207058683</v>
      </c>
      <c r="E65">
        <v>42</v>
      </c>
      <c r="F65">
        <v>42</v>
      </c>
      <c r="G65">
        <v>4.3061283210000001</v>
      </c>
      <c r="H65">
        <v>4.2596462426999997</v>
      </c>
      <c r="I65" t="s">
        <v>393</v>
      </c>
    </row>
    <row r="66" spans="1:9">
      <c r="A66" s="10">
        <v>44378</v>
      </c>
      <c r="B66" s="33">
        <v>109.256</v>
      </c>
      <c r="C66" s="31">
        <v>43</v>
      </c>
      <c r="D66" s="31">
        <f t="shared" si="0"/>
        <v>4.4732161640115482</v>
      </c>
      <c r="E66">
        <v>43</v>
      </c>
      <c r="F66">
        <v>43</v>
      </c>
      <c r="G66">
        <v>4.4732161640000001</v>
      </c>
      <c r="H66">
        <v>4.68707238</v>
      </c>
      <c r="I66" t="s">
        <v>394</v>
      </c>
    </row>
    <row r="67" spans="1:9">
      <c r="A67" s="16">
        <v>44409</v>
      </c>
      <c r="B67" s="33">
        <v>109.67400000000001</v>
      </c>
      <c r="C67" s="31">
        <v>44</v>
      </c>
      <c r="D67" s="31">
        <f t="shared" si="0"/>
        <v>4.5809096977209895</v>
      </c>
      <c r="E67">
        <v>44</v>
      </c>
      <c r="F67">
        <v>44</v>
      </c>
      <c r="G67">
        <v>4.5809096980000001</v>
      </c>
      <c r="H67">
        <v>4.4823504152</v>
      </c>
      <c r="I67" t="s">
        <v>242</v>
      </c>
    </row>
    <row r="68" spans="1:9">
      <c r="A68" s="10">
        <v>44440</v>
      </c>
      <c r="B68" s="33">
        <v>110.03400000000001</v>
      </c>
      <c r="C68" s="31">
        <v>45</v>
      </c>
      <c r="D68" s="31">
        <f t="shared" si="0"/>
        <v>4.7374282532339622</v>
      </c>
      <c r="E68">
        <v>45</v>
      </c>
      <c r="F68">
        <v>45</v>
      </c>
      <c r="G68">
        <v>4.737428253</v>
      </c>
      <c r="H68">
        <v>4.9138385435999998</v>
      </c>
      <c r="I68" t="s">
        <v>243</v>
      </c>
    </row>
    <row r="69" spans="1:9">
      <c r="A69" s="10">
        <v>44470</v>
      </c>
      <c r="B69" s="33">
        <v>110.762</v>
      </c>
      <c r="C69" s="31">
        <v>46</v>
      </c>
      <c r="D69" s="31">
        <f t="shared" si="0"/>
        <v>5.3361356525377825</v>
      </c>
      <c r="E69">
        <v>46</v>
      </c>
      <c r="F69">
        <v>46</v>
      </c>
      <c r="G69">
        <v>5.3361356530000004</v>
      </c>
      <c r="H69">
        <v>5.3453266719999997</v>
      </c>
      <c r="I69" t="s">
        <v>395</v>
      </c>
    </row>
    <row r="70" spans="1:9">
      <c r="A70" s="10">
        <v>44501</v>
      </c>
      <c r="B70" s="33">
        <v>111.5</v>
      </c>
      <c r="C70" s="31">
        <v>47</v>
      </c>
      <c r="D70" s="31">
        <f t="shared" si="0"/>
        <v>5.9301905793383929</v>
      </c>
      <c r="E70">
        <v>47</v>
      </c>
      <c r="F70">
        <v>47</v>
      </c>
      <c r="G70">
        <v>5.9301905789999996</v>
      </c>
      <c r="H70">
        <v>5.7768148004000004</v>
      </c>
      <c r="I70" t="s">
        <v>396</v>
      </c>
    </row>
    <row r="71" spans="1:9">
      <c r="A71" s="10">
        <v>44531</v>
      </c>
      <c r="B71" s="33">
        <v>112.191</v>
      </c>
      <c r="C71" s="31">
        <v>48</v>
      </c>
      <c r="D71" s="31">
        <f t="shared" si="0"/>
        <v>6.1419691766241922</v>
      </c>
      <c r="E71">
        <v>48</v>
      </c>
      <c r="F71">
        <v>48</v>
      </c>
      <c r="G71">
        <v>6.141969177</v>
      </c>
      <c r="H71">
        <v>6.2083029288000002</v>
      </c>
      <c r="I71" t="s">
        <v>397</v>
      </c>
    </row>
    <row r="72" spans="1:9">
      <c r="A72" s="16">
        <v>44562</v>
      </c>
      <c r="B72" s="33">
        <v>112.80500000000001</v>
      </c>
      <c r="C72" s="31">
        <v>49</v>
      </c>
      <c r="D72" s="31">
        <f t="shared" si="0"/>
        <v>6.2724335120163559</v>
      </c>
      <c r="E72">
        <v>49</v>
      </c>
      <c r="F72">
        <v>49</v>
      </c>
      <c r="G72">
        <v>6.2724335120000001</v>
      </c>
      <c r="H72">
        <v>6.3616295271999999</v>
      </c>
      <c r="I72" t="s">
        <v>247</v>
      </c>
    </row>
    <row r="73" spans="1:9">
      <c r="A73" s="10">
        <v>44593</v>
      </c>
      <c r="B73" s="33">
        <v>113.471</v>
      </c>
      <c r="C73" s="31">
        <v>50</v>
      </c>
      <c r="D73" s="31">
        <f t="shared" si="0"/>
        <v>6.54553990610329</v>
      </c>
      <c r="E73">
        <v>50</v>
      </c>
      <c r="F73">
        <v>50</v>
      </c>
      <c r="G73">
        <v>6.5455399060000001</v>
      </c>
      <c r="H73">
        <v>6.5147882140000002</v>
      </c>
      <c r="I73" t="s">
        <v>248</v>
      </c>
    </row>
    <row r="74" spans="1:9">
      <c r="A74" s="10">
        <v>44621</v>
      </c>
      <c r="B74" s="33">
        <v>114.46899999999999</v>
      </c>
      <c r="C74" s="31">
        <v>51</v>
      </c>
      <c r="D74" s="31">
        <f t="shared" si="0"/>
        <v>6.9264109701645822</v>
      </c>
      <c r="E74">
        <v>51</v>
      </c>
      <c r="F74">
        <v>51</v>
      </c>
      <c r="G74">
        <v>6.9264109700000001</v>
      </c>
      <c r="H74">
        <v>6.6679469008999996</v>
      </c>
      <c r="I74" t="s">
        <v>398</v>
      </c>
    </row>
    <row r="75" spans="1:9">
      <c r="A75" s="10">
        <v>44652</v>
      </c>
      <c r="B75" s="33">
        <v>114.812</v>
      </c>
      <c r="C75" s="31">
        <v>52</v>
      </c>
      <c r="D75" s="31">
        <f t="shared" si="0"/>
        <v>6.6847553383263056</v>
      </c>
      <c r="E75">
        <v>52</v>
      </c>
      <c r="F75">
        <v>52</v>
      </c>
      <c r="G75">
        <v>6.6847553380000004</v>
      </c>
      <c r="H75">
        <v>6.8211055878</v>
      </c>
      <c r="I75" t="s">
        <v>399</v>
      </c>
    </row>
    <row r="76" spans="1:9">
      <c r="A76" s="10">
        <v>44682</v>
      </c>
      <c r="B76" s="33">
        <v>115.52500000000001</v>
      </c>
      <c r="C76" s="31">
        <v>53</v>
      </c>
      <c r="D76" s="31">
        <f t="shared" si="0"/>
        <v>6.7945458747400131</v>
      </c>
      <c r="E76">
        <v>53</v>
      </c>
      <c r="F76">
        <v>53</v>
      </c>
      <c r="G76">
        <v>6.7945458749999998</v>
      </c>
      <c r="H76">
        <v>6.9742642746000003</v>
      </c>
      <c r="I76" t="s">
        <v>400</v>
      </c>
    </row>
    <row r="77" spans="1:9">
      <c r="A77" s="10">
        <v>44713</v>
      </c>
      <c r="B77" s="33">
        <v>116.63800000000001</v>
      </c>
      <c r="C77" s="31">
        <v>54</v>
      </c>
      <c r="D77" s="31">
        <f t="shared" si="0"/>
        <v>7.2434718646561231</v>
      </c>
      <c r="E77">
        <v>54</v>
      </c>
      <c r="F77">
        <v>54</v>
      </c>
      <c r="G77">
        <v>7.2434718650000001</v>
      </c>
      <c r="H77">
        <v>7.1274229614999998</v>
      </c>
      <c r="I77" t="s">
        <v>252</v>
      </c>
    </row>
    <row r="78" spans="1:9">
      <c r="A78" s="16">
        <v>44743</v>
      </c>
      <c r="B78" s="33">
        <v>116.631</v>
      </c>
      <c r="C78" s="31">
        <v>55</v>
      </c>
      <c r="D78" s="31">
        <f t="shared" si="0"/>
        <v>6.7502013619389327</v>
      </c>
      <c r="E78">
        <v>55</v>
      </c>
      <c r="F78">
        <v>55</v>
      </c>
      <c r="G78">
        <v>6.7502013620000003</v>
      </c>
      <c r="H78">
        <v>6.9469908236000002</v>
      </c>
      <c r="I78" t="s">
        <v>253</v>
      </c>
    </row>
    <row r="79" spans="1:9">
      <c r="A79" s="10">
        <v>44774</v>
      </c>
      <c r="B79" s="33">
        <v>116.956</v>
      </c>
      <c r="C79" s="31">
        <v>56</v>
      </c>
      <c r="D79" s="31">
        <f t="shared" si="0"/>
        <v>6.6396775899483886</v>
      </c>
      <c r="E79">
        <v>56</v>
      </c>
      <c r="F79">
        <v>56</v>
      </c>
      <c r="G79">
        <v>6.6396775899999998</v>
      </c>
      <c r="H79">
        <v>6.7041185396999996</v>
      </c>
      <c r="I79" t="s">
        <v>401</v>
      </c>
    </row>
    <row r="80" spans="1:9">
      <c r="A80" s="10">
        <v>44805</v>
      </c>
      <c r="B80" s="33">
        <v>117.371</v>
      </c>
      <c r="C80" s="31">
        <v>57</v>
      </c>
      <c r="D80" s="31">
        <f t="shared" si="0"/>
        <v>6.6679390006725088</v>
      </c>
      <c r="E80">
        <v>57</v>
      </c>
      <c r="F80">
        <v>57</v>
      </c>
      <c r="G80">
        <v>6.6679390009999997</v>
      </c>
      <c r="H80">
        <v>6.4612462557999999</v>
      </c>
      <c r="I80" t="s">
        <v>402</v>
      </c>
    </row>
    <row r="81" spans="1:9">
      <c r="A81" s="10">
        <v>44835</v>
      </c>
      <c r="B81" s="33">
        <v>117.919</v>
      </c>
      <c r="C81" s="31">
        <v>58</v>
      </c>
      <c r="D81" s="31">
        <f t="shared" si="0"/>
        <v>6.4616023545981438</v>
      </c>
      <c r="E81">
        <v>58</v>
      </c>
      <c r="F81">
        <v>58</v>
      </c>
      <c r="G81">
        <v>6.4616023550000001</v>
      </c>
      <c r="H81">
        <v>6.2183739719000002</v>
      </c>
      <c r="I81" t="s">
        <v>403</v>
      </c>
    </row>
    <row r="82" spans="1:9">
      <c r="A82" s="10">
        <v>44866</v>
      </c>
      <c r="B82" s="33">
        <v>118.224</v>
      </c>
      <c r="C82" s="31">
        <v>59</v>
      </c>
      <c r="D82" s="31">
        <f t="shared" si="0"/>
        <v>6.0304932735426036</v>
      </c>
      <c r="E82">
        <v>59</v>
      </c>
      <c r="F82">
        <v>59</v>
      </c>
      <c r="G82">
        <v>6.0304932740000003</v>
      </c>
      <c r="H82">
        <v>5.9755016880999996</v>
      </c>
      <c r="I82" t="s">
        <v>257</v>
      </c>
    </row>
    <row r="83" spans="1:9">
      <c r="A83" s="10">
        <v>44896</v>
      </c>
      <c r="B83" s="33">
        <v>118.384</v>
      </c>
      <c r="C83" s="31">
        <v>60</v>
      </c>
      <c r="D83" s="31">
        <f t="shared" si="0"/>
        <v>5.520050627946981</v>
      </c>
      <c r="E83">
        <v>60</v>
      </c>
      <c r="F83">
        <v>60</v>
      </c>
      <c r="G83">
        <v>5.5200506279999999</v>
      </c>
      <c r="H83">
        <v>5.7326294041999999</v>
      </c>
      <c r="I83" t="s">
        <v>258</v>
      </c>
    </row>
    <row r="84" spans="1:9">
      <c r="A84" s="10">
        <v>44927</v>
      </c>
      <c r="B84" s="33">
        <v>119.018</v>
      </c>
      <c r="C84" s="31">
        <v>61</v>
      </c>
      <c r="D84" s="31">
        <f t="shared" si="0"/>
        <v>5.5077345862328739</v>
      </c>
      <c r="E84">
        <v>61</v>
      </c>
      <c r="F84">
        <v>61</v>
      </c>
      <c r="G84">
        <v>5.5077345859999998</v>
      </c>
      <c r="H84">
        <v>5.4897571203000002</v>
      </c>
      <c r="I84" t="s">
        <v>404</v>
      </c>
    </row>
    <row r="85" spans="1:9">
      <c r="A85" s="10">
        <v>44958</v>
      </c>
      <c r="B85" s="33">
        <v>119.369</v>
      </c>
      <c r="C85" s="31">
        <v>62</v>
      </c>
      <c r="D85" s="31">
        <f t="shared" si="0"/>
        <v>5.1978038441540093</v>
      </c>
      <c r="E85">
        <v>62</v>
      </c>
      <c r="F85">
        <v>62</v>
      </c>
      <c r="G85">
        <v>5.1978038440000001</v>
      </c>
      <c r="H85">
        <v>5.2468848363999996</v>
      </c>
      <c r="I85" t="s">
        <v>405</v>
      </c>
    </row>
    <row r="86" spans="1:9">
      <c r="A86" s="16">
        <v>44986</v>
      </c>
      <c r="B86" s="33">
        <v>119.538</v>
      </c>
      <c r="C86" s="31">
        <v>63</v>
      </c>
      <c r="D86" s="31">
        <f t="shared" si="0"/>
        <v>4.4282731569245843</v>
      </c>
      <c r="E86">
        <v>63</v>
      </c>
      <c r="F86">
        <v>63</v>
      </c>
      <c r="G86">
        <v>4.4282731569999996</v>
      </c>
      <c r="H86">
        <v>4.5662531303999998</v>
      </c>
      <c r="I86" t="s">
        <v>406</v>
      </c>
    </row>
    <row r="87" spans="1:9">
      <c r="A87" s="10">
        <v>45017</v>
      </c>
      <c r="B87" s="33">
        <v>119.95099999999999</v>
      </c>
      <c r="C87" s="31">
        <v>64</v>
      </c>
      <c r="D87" s="31">
        <f t="shared" si="0"/>
        <v>4.4760129603177337</v>
      </c>
      <c r="E87">
        <v>64</v>
      </c>
      <c r="F87">
        <v>64</v>
      </c>
      <c r="G87">
        <v>4.4760129600000003</v>
      </c>
      <c r="H87">
        <v>4.2432577756000001</v>
      </c>
      <c r="I87" t="s">
        <v>262</v>
      </c>
    </row>
    <row r="88" spans="1:9">
      <c r="A88" s="10">
        <v>45047</v>
      </c>
      <c r="B88" s="33">
        <v>120.15</v>
      </c>
      <c r="C88" s="31">
        <v>65</v>
      </c>
      <c r="D88" s="31">
        <f t="shared" si="0"/>
        <v>4.003462454014282</v>
      </c>
      <c r="E88">
        <v>65</v>
      </c>
      <c r="F88">
        <v>65</v>
      </c>
      <c r="G88">
        <v>4.0034624540000001</v>
      </c>
      <c r="H88">
        <v>3.9202624207999999</v>
      </c>
      <c r="I88" t="s">
        <v>263</v>
      </c>
    </row>
    <row r="89" spans="1:9">
      <c r="A89" s="10">
        <v>45078</v>
      </c>
      <c r="B89" s="33">
        <v>120.46899999999999</v>
      </c>
      <c r="C89" s="31">
        <v>66</v>
      </c>
      <c r="D89" s="31">
        <f t="shared" si="0"/>
        <v>3.2845213395291317</v>
      </c>
      <c r="E89">
        <v>66</v>
      </c>
      <c r="F89">
        <v>66</v>
      </c>
      <c r="G89">
        <v>3.28452134</v>
      </c>
      <c r="H89">
        <v>3.5972670660000001</v>
      </c>
      <c r="I89" t="s">
        <v>407</v>
      </c>
    </row>
    <row r="90" spans="1:9">
      <c r="A90" s="10">
        <v>45108</v>
      </c>
      <c r="B90" s="33">
        <v>120.607</v>
      </c>
      <c r="C90" s="31">
        <v>67</v>
      </c>
      <c r="D90" s="31">
        <f t="shared" ref="D90:D114" si="1">100*(B90-B78)/B78</f>
        <v>3.4090421928989714</v>
      </c>
      <c r="E90">
        <v>67</v>
      </c>
      <c r="F90">
        <v>67</v>
      </c>
      <c r="G90">
        <v>3.4090421929999999</v>
      </c>
      <c r="H90">
        <v>3.2742717111999999</v>
      </c>
      <c r="I90" t="s">
        <v>408</v>
      </c>
    </row>
    <row r="91" spans="1:9">
      <c r="A91" s="16">
        <v>45139</v>
      </c>
      <c r="B91" s="33">
        <v>120.97</v>
      </c>
      <c r="C91" s="31">
        <v>68</v>
      </c>
      <c r="D91" s="31">
        <f t="shared" si="1"/>
        <v>3.4320599199698996</v>
      </c>
      <c r="E91">
        <v>68</v>
      </c>
      <c r="F91">
        <v>68</v>
      </c>
      <c r="G91">
        <v>3.4320599199999999</v>
      </c>
      <c r="H91">
        <v>3.4899922596000001</v>
      </c>
      <c r="I91" t="s">
        <v>409</v>
      </c>
    </row>
    <row r="92" spans="1:9">
      <c r="A92" s="10">
        <v>45170</v>
      </c>
      <c r="B92" s="33">
        <v>121.419</v>
      </c>
      <c r="C92" s="31">
        <v>69</v>
      </c>
      <c r="D92" s="31">
        <f t="shared" si="1"/>
        <v>3.448892827018601</v>
      </c>
      <c r="E92">
        <v>69</v>
      </c>
      <c r="F92">
        <v>69</v>
      </c>
      <c r="G92">
        <v>3.4488928269999999</v>
      </c>
      <c r="H92">
        <v>3.2886531622000001</v>
      </c>
      <c r="I92" t="s">
        <v>273</v>
      </c>
    </row>
    <row r="93" spans="1:9">
      <c r="A93" s="10">
        <v>45200</v>
      </c>
      <c r="B93" s="33">
        <v>121.48399999999999</v>
      </c>
      <c r="C93" s="31">
        <v>70</v>
      </c>
      <c r="D93" s="31">
        <f t="shared" si="1"/>
        <v>3.0232617305099243</v>
      </c>
      <c r="E93">
        <v>70</v>
      </c>
      <c r="F93">
        <v>70</v>
      </c>
      <c r="G93">
        <v>3.0232617309999998</v>
      </c>
      <c r="H93">
        <v>3.0873140648000001</v>
      </c>
      <c r="I93" t="s">
        <v>274</v>
      </c>
    </row>
    <row r="94" spans="1:9">
      <c r="A94" s="10">
        <v>45231</v>
      </c>
      <c r="B94" s="33">
        <v>121.49299999999999</v>
      </c>
      <c r="C94" s="31">
        <v>71</v>
      </c>
      <c r="D94" s="31">
        <f t="shared" si="1"/>
        <v>2.7650899986466295</v>
      </c>
      <c r="E94">
        <v>71</v>
      </c>
      <c r="F94">
        <v>71</v>
      </c>
      <c r="G94">
        <v>2.7650899990000002</v>
      </c>
      <c r="H94">
        <v>2.8859749674000001</v>
      </c>
      <c r="I94" t="s">
        <v>410</v>
      </c>
    </row>
    <row r="95" spans="1:9">
      <c r="A95" s="10">
        <v>45261</v>
      </c>
      <c r="B95" s="33">
        <v>121.66</v>
      </c>
      <c r="C95" s="31">
        <v>72</v>
      </c>
      <c r="D95" s="31">
        <f t="shared" si="1"/>
        <v>2.7672658467360423</v>
      </c>
      <c r="E95">
        <v>72</v>
      </c>
      <c r="F95">
        <v>72</v>
      </c>
      <c r="G95">
        <v>2.767265847</v>
      </c>
      <c r="H95">
        <v>2.6846358700000001</v>
      </c>
      <c r="I95" t="s">
        <v>411</v>
      </c>
    </row>
    <row r="96" spans="1:9">
      <c r="A96" s="16">
        <v>45292</v>
      </c>
      <c r="B96" s="33">
        <v>122.23</v>
      </c>
      <c r="C96" s="14">
        <v>73</v>
      </c>
      <c r="D96" s="14">
        <f t="shared" si="1"/>
        <v>2.6987514493606035</v>
      </c>
      <c r="E96">
        <v>73</v>
      </c>
      <c r="F96">
        <v>73</v>
      </c>
      <c r="G96">
        <v>2.698751449</v>
      </c>
      <c r="H96">
        <v>2.8644340452999999</v>
      </c>
      <c r="I96" t="s">
        <v>412</v>
      </c>
    </row>
    <row r="97" spans="1:12">
      <c r="A97" s="10">
        <v>45323</v>
      </c>
      <c r="B97" s="33">
        <v>122.598</v>
      </c>
      <c r="C97" s="31">
        <v>74</v>
      </c>
      <c r="D97" s="31">
        <f t="shared" si="1"/>
        <v>2.7050574269701508</v>
      </c>
      <c r="E97">
        <v>74</v>
      </c>
      <c r="F97">
        <v>74</v>
      </c>
      <c r="G97">
        <v>2.7050574269999998</v>
      </c>
      <c r="H97">
        <v>2.8048834963</v>
      </c>
      <c r="I97" t="s">
        <v>339</v>
      </c>
    </row>
    <row r="98" spans="1:12">
      <c r="A98" s="10">
        <v>45352</v>
      </c>
      <c r="B98" s="33">
        <v>123.038</v>
      </c>
      <c r="C98" s="31">
        <v>75</v>
      </c>
      <c r="D98" s="31">
        <f t="shared" si="1"/>
        <v>2.9279392327126104</v>
      </c>
      <c r="E98">
        <v>75</v>
      </c>
      <c r="F98">
        <v>75</v>
      </c>
      <c r="G98">
        <v>2.927939233</v>
      </c>
      <c r="H98">
        <v>2.7453329472000001</v>
      </c>
      <c r="I98" t="s">
        <v>340</v>
      </c>
    </row>
    <row r="99" spans="1:12">
      <c r="A99" s="10">
        <v>45383</v>
      </c>
      <c r="B99" s="33">
        <v>123.34099999999999</v>
      </c>
      <c r="C99" s="31">
        <v>76</v>
      </c>
      <c r="D99" s="31">
        <f t="shared" si="1"/>
        <v>2.8261540128885967</v>
      </c>
      <c r="E99">
        <v>76</v>
      </c>
      <c r="F99">
        <v>76</v>
      </c>
      <c r="G99">
        <v>2.826154013</v>
      </c>
      <c r="H99">
        <v>2.6857823982000002</v>
      </c>
      <c r="I99" t="s">
        <v>413</v>
      </c>
    </row>
    <row r="100" spans="1:12">
      <c r="A100" s="10">
        <v>45413</v>
      </c>
      <c r="B100" s="33">
        <v>123.348</v>
      </c>
      <c r="C100" s="31">
        <v>77</v>
      </c>
      <c r="D100" s="31">
        <f t="shared" si="1"/>
        <v>2.6616729088639146</v>
      </c>
      <c r="E100">
        <v>77</v>
      </c>
      <c r="F100">
        <v>77</v>
      </c>
      <c r="G100">
        <v>2.661672909</v>
      </c>
      <c r="H100">
        <v>2.6262318490999998</v>
      </c>
      <c r="I100" t="s">
        <v>414</v>
      </c>
    </row>
    <row r="101" spans="1:12">
      <c r="A101" s="10">
        <v>45444</v>
      </c>
      <c r="B101" s="33">
        <v>123.539</v>
      </c>
      <c r="C101" s="31">
        <v>78</v>
      </c>
      <c r="D101" s="31">
        <f t="shared" si="1"/>
        <v>2.5483734404701686</v>
      </c>
      <c r="E101">
        <v>78</v>
      </c>
      <c r="F101">
        <v>78</v>
      </c>
      <c r="G101">
        <v>2.5483734400000002</v>
      </c>
      <c r="H101">
        <v>2.5666813001</v>
      </c>
      <c r="I101" t="s">
        <v>415</v>
      </c>
    </row>
    <row r="102" spans="1:12">
      <c r="A102" s="10">
        <v>45474</v>
      </c>
      <c r="B102" s="33">
        <v>123.736</v>
      </c>
      <c r="C102" s="31">
        <v>79</v>
      </c>
      <c r="D102" s="31">
        <f t="shared" si="1"/>
        <v>2.5943767774673154</v>
      </c>
      <c r="E102">
        <v>79</v>
      </c>
      <c r="F102">
        <v>79</v>
      </c>
      <c r="G102">
        <v>2.5943767769999999</v>
      </c>
      <c r="H102">
        <v>2.507130751</v>
      </c>
      <c r="I102" t="s">
        <v>416</v>
      </c>
    </row>
    <row r="103" spans="1:12">
      <c r="A103" s="10">
        <v>45505</v>
      </c>
      <c r="B103" s="33">
        <v>123.889</v>
      </c>
      <c r="C103" s="31">
        <v>80</v>
      </c>
      <c r="D103" s="31">
        <f t="shared" si="1"/>
        <v>2.412994957427459</v>
      </c>
      <c r="E103">
        <v>80</v>
      </c>
      <c r="F103">
        <v>80</v>
      </c>
      <c r="G103">
        <v>2.412994957</v>
      </c>
      <c r="H103">
        <v>2.4475802020000001</v>
      </c>
      <c r="I103" t="s">
        <v>417</v>
      </c>
    </row>
    <row r="104" spans="1:12">
      <c r="A104" s="10">
        <v>45536</v>
      </c>
      <c r="B104" s="33">
        <v>124.164</v>
      </c>
      <c r="C104" s="31">
        <v>81</v>
      </c>
      <c r="D104" s="31">
        <f t="shared" si="1"/>
        <v>2.2607664368838525</v>
      </c>
      <c r="E104">
        <v>81</v>
      </c>
      <c r="F104">
        <v>81</v>
      </c>
      <c r="G104">
        <v>2.260766437</v>
      </c>
      <c r="H104">
        <v>2.3880296528999998</v>
      </c>
      <c r="I104" t="s">
        <v>418</v>
      </c>
    </row>
    <row r="105" spans="1:12">
      <c r="A105" s="16">
        <v>45566</v>
      </c>
      <c r="B105" s="33">
        <v>124.494</v>
      </c>
      <c r="C105" s="14">
        <v>82</v>
      </c>
      <c r="D105" s="14">
        <f t="shared" si="1"/>
        <v>2.4776925356425581</v>
      </c>
      <c r="E105">
        <v>82</v>
      </c>
      <c r="F105">
        <v>82</v>
      </c>
      <c r="G105">
        <v>2.4776925360000002</v>
      </c>
      <c r="H105">
        <v>2.5252588901999999</v>
      </c>
      <c r="I105" t="s">
        <v>419</v>
      </c>
    </row>
    <row r="106" spans="1:12">
      <c r="A106" s="10">
        <v>45597</v>
      </c>
      <c r="B106" s="33">
        <v>124.637</v>
      </c>
      <c r="C106" s="31">
        <v>83</v>
      </c>
      <c r="D106" s="31">
        <f t="shared" si="1"/>
        <v>2.5878034125422911</v>
      </c>
      <c r="E106">
        <v>83</v>
      </c>
      <c r="F106">
        <v>83</v>
      </c>
      <c r="G106">
        <v>2.5878034130000001</v>
      </c>
      <c r="H106">
        <v>2.5737749292999998</v>
      </c>
      <c r="I106" t="s">
        <v>420</v>
      </c>
    </row>
    <row r="107" spans="1:12">
      <c r="A107" s="10">
        <v>45627</v>
      </c>
      <c r="B107" s="33">
        <v>124.979</v>
      </c>
      <c r="C107" s="31">
        <v>84</v>
      </c>
      <c r="D107" s="31">
        <f t="shared" si="1"/>
        <v>2.7280946901200087</v>
      </c>
      <c r="E107">
        <v>84</v>
      </c>
      <c r="F107">
        <v>84</v>
      </c>
      <c r="G107">
        <v>2.7280946899999998</v>
      </c>
      <c r="H107">
        <v>2.6222909684000002</v>
      </c>
    </row>
    <row r="108" spans="1:12">
      <c r="A108" s="10">
        <v>45658</v>
      </c>
      <c r="B108" s="33">
        <v>125.417</v>
      </c>
      <c r="C108" s="31">
        <v>85</v>
      </c>
      <c r="D108" s="31">
        <f t="shared" si="1"/>
        <v>2.6073795303935183</v>
      </c>
      <c r="E108">
        <v>85</v>
      </c>
      <c r="F108">
        <v>85</v>
      </c>
      <c r="G108">
        <v>2.6073795299999998</v>
      </c>
      <c r="H108">
        <v>2.6708070075000001</v>
      </c>
      <c r="I108" t="s">
        <v>182</v>
      </c>
    </row>
    <row r="109" spans="1:12">
      <c r="A109" s="10">
        <v>45689</v>
      </c>
      <c r="B109" s="33">
        <v>125.92100000000001</v>
      </c>
      <c r="C109" s="31">
        <v>86</v>
      </c>
      <c r="D109" s="31">
        <f t="shared" si="1"/>
        <v>2.7104846734857073</v>
      </c>
      <c r="E109">
        <v>86</v>
      </c>
      <c r="F109">
        <v>86</v>
      </c>
      <c r="G109">
        <v>2.7104846729999998</v>
      </c>
      <c r="H109">
        <v>2.7193230466</v>
      </c>
      <c r="I109" t="s">
        <v>184</v>
      </c>
      <c r="J109" t="s">
        <v>185</v>
      </c>
      <c r="K109" t="s">
        <v>186</v>
      </c>
      <c r="L109" t="s">
        <v>187</v>
      </c>
    </row>
    <row r="110" spans="1:12">
      <c r="A110" s="50">
        <v>45717</v>
      </c>
      <c r="B110" s="33">
        <v>125.941</v>
      </c>
      <c r="C110" s="52">
        <v>87</v>
      </c>
      <c r="D110" s="52">
        <f t="shared" si="1"/>
        <v>2.3594336708984263</v>
      </c>
      <c r="E110">
        <v>87</v>
      </c>
      <c r="F110">
        <v>87</v>
      </c>
      <c r="G110">
        <v>2.3594336710000001</v>
      </c>
      <c r="H110">
        <v>2.2899677812000001</v>
      </c>
      <c r="I110" t="s">
        <v>188</v>
      </c>
      <c r="J110">
        <v>29</v>
      </c>
      <c r="K110">
        <v>36.373515079400001</v>
      </c>
      <c r="L110">
        <v>1.2542591407000001</v>
      </c>
    </row>
    <row r="111" spans="1:12">
      <c r="A111" s="10">
        <v>45748</v>
      </c>
      <c r="B111" s="33">
        <v>126.15</v>
      </c>
      <c r="C111" s="31">
        <v>88</v>
      </c>
      <c r="D111" s="31">
        <f t="shared" si="1"/>
        <v>2.2774259978433871</v>
      </c>
      <c r="E111">
        <v>88</v>
      </c>
      <c r="F111">
        <v>88</v>
      </c>
      <c r="G111">
        <v>2.277425998</v>
      </c>
      <c r="H111">
        <v>2.3757326403999999</v>
      </c>
      <c r="I111" t="s">
        <v>189</v>
      </c>
      <c r="J111">
        <v>62</v>
      </c>
      <c r="K111">
        <v>2.0208009386999999</v>
      </c>
      <c r="L111">
        <v>3.2593563499999999E-2</v>
      </c>
    </row>
    <row r="112" spans="1:12">
      <c r="A112" s="10">
        <v>45778</v>
      </c>
      <c r="B112" s="33">
        <v>126.38</v>
      </c>
      <c r="C112" s="31">
        <v>89</v>
      </c>
      <c r="D112" s="31">
        <f t="shared" si="1"/>
        <v>2.4580860654408636</v>
      </c>
      <c r="E112">
        <v>89</v>
      </c>
      <c r="F112">
        <v>89</v>
      </c>
      <c r="G112">
        <v>2.4580860649999998</v>
      </c>
      <c r="H112">
        <v>2.4614974996000001</v>
      </c>
      <c r="I112" t="s">
        <v>190</v>
      </c>
      <c r="J112">
        <v>91</v>
      </c>
      <c r="K112">
        <v>297.28345083480002</v>
      </c>
    </row>
    <row r="113" spans="1:11">
      <c r="A113" s="10">
        <v>45809</v>
      </c>
      <c r="B113" s="33">
        <v>126.74299999999999</v>
      </c>
      <c r="C113" s="31">
        <v>90</v>
      </c>
      <c r="D113" s="31">
        <f t="shared" si="1"/>
        <v>2.5935129797068082</v>
      </c>
      <c r="E113">
        <v>90</v>
      </c>
      <c r="F113">
        <v>90</v>
      </c>
      <c r="G113">
        <v>2.5935129799999999</v>
      </c>
      <c r="H113">
        <v>2.5472623587999998</v>
      </c>
      <c r="I113" t="s">
        <v>421</v>
      </c>
    </row>
    <row r="114" spans="1:11">
      <c r="A114" s="10">
        <v>45839</v>
      </c>
      <c r="B114" s="33">
        <v>126.949</v>
      </c>
      <c r="C114" s="31">
        <v>91</v>
      </c>
      <c r="D114" s="31">
        <f t="shared" si="1"/>
        <v>2.5966573996250029</v>
      </c>
      <c r="E114">
        <v>91</v>
      </c>
      <c r="F114">
        <v>91</v>
      </c>
      <c r="G114">
        <v>2.5966573999999998</v>
      </c>
      <c r="H114">
        <v>2.6330272179</v>
      </c>
    </row>
    <row r="115" spans="1:11">
      <c r="A115" s="10">
        <v>45870</v>
      </c>
      <c r="B115" s="33">
        <v>127.285</v>
      </c>
      <c r="C115" s="31">
        <v>92</v>
      </c>
      <c r="D115" s="31">
        <f t="shared" ref="D115" si="2">100*(B115-B103)/B103</f>
        <v>2.741163460839946</v>
      </c>
      <c r="E115">
        <v>92</v>
      </c>
      <c r="F115">
        <v>92</v>
      </c>
      <c r="G115">
        <v>2.7411634610000002</v>
      </c>
      <c r="H115">
        <v>2.7187920770999998</v>
      </c>
      <c r="K115" s="31">
        <f>1-(K111/K112)</f>
        <v>0.99320244388638046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5285-818B-43FA-B7D4-19CAACA55DC1}">
  <dimension ref="A1:X115"/>
  <sheetViews>
    <sheetView topLeftCell="A98" workbookViewId="0">
      <selection activeCell="K115" sqref="K115"/>
    </sheetView>
  </sheetViews>
  <sheetFormatPr defaultRowHeight="13.2"/>
  <cols>
    <col min="1" max="1" width="11.109375" customWidth="1"/>
    <col min="2" max="2" width="8.88671875" customWidth="1"/>
    <col min="3" max="3" width="4.88671875" customWidth="1"/>
    <col min="5" max="6" width="3.5546875" bestFit="1" customWidth="1"/>
  </cols>
  <sheetData>
    <row r="1" spans="1:24" ht="39.6">
      <c r="A1" s="37" t="s">
        <v>0</v>
      </c>
      <c r="B1" s="37"/>
      <c r="C1" s="37"/>
      <c r="P1" s="62" t="s">
        <v>430</v>
      </c>
      <c r="Q1" s="64" t="s">
        <v>431</v>
      </c>
      <c r="R1" s="64" t="s">
        <v>432</v>
      </c>
      <c r="S1" s="64" t="s">
        <v>433</v>
      </c>
      <c r="T1" s="64" t="s">
        <v>434</v>
      </c>
      <c r="U1" s="64" t="s">
        <v>435</v>
      </c>
      <c r="V1" s="64" t="s">
        <v>436</v>
      </c>
      <c r="W1" s="62" t="s">
        <v>437</v>
      </c>
      <c r="X1" s="62" t="s">
        <v>438</v>
      </c>
    </row>
    <row r="2" spans="1:24" ht="15">
      <c r="A2" s="37" t="s">
        <v>302</v>
      </c>
      <c r="B2" s="37"/>
      <c r="C2" s="37"/>
      <c r="P2" s="65">
        <v>1</v>
      </c>
      <c r="Q2" s="63">
        <v>5</v>
      </c>
      <c r="R2" s="67">
        <v>1.6134360000000001</v>
      </c>
      <c r="S2" s="67">
        <v>0.122613</v>
      </c>
      <c r="T2" s="67">
        <v>0.96128599999999997</v>
      </c>
      <c r="U2" s="67">
        <v>2.0179999999999998E-3</v>
      </c>
      <c r="V2" s="67">
        <v>4.4925E-2</v>
      </c>
      <c r="W2" s="66">
        <v>43101</v>
      </c>
      <c r="X2" s="66">
        <v>43221</v>
      </c>
    </row>
    <row r="3" spans="1:24" ht="15">
      <c r="A3" s="37" t="s">
        <v>2</v>
      </c>
      <c r="B3" s="37"/>
      <c r="C3" s="37"/>
      <c r="P3" s="65">
        <v>2</v>
      </c>
      <c r="Q3" s="63">
        <v>7</v>
      </c>
      <c r="R3" s="67">
        <v>2.7790080000000001</v>
      </c>
      <c r="S3" s="67">
        <v>-7.6128000000000001E-2</v>
      </c>
      <c r="T3" s="67">
        <v>0.89094499999999999</v>
      </c>
      <c r="U3" s="67">
        <v>3.973E-3</v>
      </c>
      <c r="V3" s="67">
        <v>6.3029000000000002E-2</v>
      </c>
      <c r="W3" s="66">
        <v>43252</v>
      </c>
      <c r="X3" s="66">
        <v>43435</v>
      </c>
    </row>
    <row r="4" spans="1:24" ht="15">
      <c r="A4" s="37" t="s">
        <v>3</v>
      </c>
      <c r="B4" s="37"/>
      <c r="C4" s="37"/>
      <c r="P4" s="65">
        <v>3</v>
      </c>
      <c r="Q4" s="63">
        <v>5</v>
      </c>
      <c r="R4" s="67">
        <v>1.12673</v>
      </c>
      <c r="S4" s="67">
        <v>2.3361E-2</v>
      </c>
      <c r="T4" s="67">
        <v>0.30213200000000001</v>
      </c>
      <c r="U4" s="67">
        <v>4.202E-3</v>
      </c>
      <c r="V4" s="67">
        <v>6.4821000000000004E-2</v>
      </c>
      <c r="W4" s="66">
        <v>43466</v>
      </c>
      <c r="X4" s="66">
        <v>43586</v>
      </c>
    </row>
    <row r="5" spans="1:24" ht="15">
      <c r="A5" s="37" t="s">
        <v>303</v>
      </c>
      <c r="B5" s="37"/>
      <c r="C5" s="37"/>
      <c r="P5" s="65">
        <v>4</v>
      </c>
      <c r="Q5" s="63">
        <v>5</v>
      </c>
      <c r="R5" s="67">
        <v>2.2665500000000001</v>
      </c>
      <c r="S5" s="67">
        <v>-4.4498000000000003E-2</v>
      </c>
      <c r="T5" s="67">
        <v>0.71594899999999995</v>
      </c>
      <c r="U5" s="67">
        <v>2.6189999999999998E-3</v>
      </c>
      <c r="V5" s="67">
        <v>5.1173000000000003E-2</v>
      </c>
      <c r="W5" s="66">
        <v>43617</v>
      </c>
      <c r="X5" s="66">
        <v>43739</v>
      </c>
    </row>
    <row r="6" spans="1:24" ht="15">
      <c r="A6" s="37" t="s">
        <v>371</v>
      </c>
      <c r="B6" s="37"/>
      <c r="C6" s="37"/>
      <c r="P6" s="65">
        <v>5</v>
      </c>
      <c r="Q6" s="63">
        <v>8</v>
      </c>
      <c r="R6" s="67">
        <v>5.648002</v>
      </c>
      <c r="S6" s="67">
        <v>-0.170292</v>
      </c>
      <c r="T6" s="67">
        <v>0.62254600000000004</v>
      </c>
      <c r="U6" s="67">
        <v>0.12307800000000001</v>
      </c>
      <c r="V6" s="67">
        <v>0.35082400000000002</v>
      </c>
      <c r="W6" s="66">
        <v>43770</v>
      </c>
      <c r="X6" s="66">
        <v>43983</v>
      </c>
    </row>
    <row r="7" spans="1:24">
      <c r="A7" s="38"/>
      <c r="B7" s="38"/>
      <c r="C7" s="38"/>
      <c r="P7" s="65">
        <v>6</v>
      </c>
      <c r="Q7" s="63">
        <v>8</v>
      </c>
      <c r="R7" s="67">
        <v>-2.3326699999999998</v>
      </c>
      <c r="S7" s="67">
        <v>0.10534200000000001</v>
      </c>
      <c r="T7" s="67">
        <v>0.77618699999999996</v>
      </c>
      <c r="U7" s="67">
        <v>2.2398999999999999E-2</v>
      </c>
      <c r="V7" s="67">
        <v>0.14966199999999999</v>
      </c>
      <c r="W7" s="66">
        <v>44013</v>
      </c>
      <c r="X7" s="66">
        <v>44228</v>
      </c>
    </row>
    <row r="8" spans="1:24" ht="15">
      <c r="A8" s="37" t="s">
        <v>6</v>
      </c>
      <c r="B8" s="37" t="s">
        <v>7</v>
      </c>
      <c r="C8" s="37" t="s">
        <v>372</v>
      </c>
      <c r="P8" s="65">
        <v>7</v>
      </c>
      <c r="Q8" s="63">
        <v>5</v>
      </c>
      <c r="R8" s="67">
        <v>-13.913634</v>
      </c>
      <c r="S8" s="67">
        <v>0.43344199999999999</v>
      </c>
      <c r="T8" s="67">
        <v>0.86998200000000003</v>
      </c>
      <c r="U8" s="67">
        <v>9.3590999999999994E-2</v>
      </c>
      <c r="V8" s="67">
        <v>0.305927</v>
      </c>
      <c r="W8" s="66">
        <v>44256</v>
      </c>
      <c r="X8" s="66">
        <v>44378</v>
      </c>
    </row>
    <row r="9" spans="1:24">
      <c r="P9" s="65">
        <v>8</v>
      </c>
      <c r="Q9" s="63">
        <v>5</v>
      </c>
      <c r="R9" s="67">
        <v>-14.657935</v>
      </c>
      <c r="S9" s="67">
        <v>0.43552999999999997</v>
      </c>
      <c r="T9" s="67">
        <v>0.962592</v>
      </c>
      <c r="U9" s="67">
        <v>2.4572E-2</v>
      </c>
      <c r="V9" s="67">
        <v>0.156754</v>
      </c>
      <c r="W9" s="66">
        <v>44409</v>
      </c>
      <c r="X9" s="66">
        <v>44531</v>
      </c>
    </row>
    <row r="10" spans="1:24">
      <c r="P10" s="65">
        <v>9</v>
      </c>
      <c r="Q10" s="63">
        <v>6</v>
      </c>
      <c r="R10" s="67">
        <v>-0.67915800000000004</v>
      </c>
      <c r="S10" s="67">
        <v>0.14464199999999999</v>
      </c>
      <c r="T10" s="67">
        <v>0.70676799999999995</v>
      </c>
      <c r="U10" s="67">
        <v>3.7975000000000002E-2</v>
      </c>
      <c r="V10" s="67">
        <v>0.19487299999999999</v>
      </c>
      <c r="W10" s="66">
        <v>44562</v>
      </c>
      <c r="X10" s="66">
        <v>44713</v>
      </c>
    </row>
    <row r="11" spans="1:24" ht="15">
      <c r="A11" s="57" t="s">
        <v>9</v>
      </c>
      <c r="B11" s="57" t="s">
        <v>6</v>
      </c>
      <c r="P11" s="65">
        <v>10</v>
      </c>
      <c r="Q11" s="63">
        <v>8</v>
      </c>
      <c r="R11" s="67">
        <v>20.240055000000002</v>
      </c>
      <c r="S11" s="67">
        <v>-0.241762</v>
      </c>
      <c r="T11" s="67">
        <v>0.92796599999999996</v>
      </c>
      <c r="U11" s="67">
        <v>3.1759999999999997E-2</v>
      </c>
      <c r="V11" s="67">
        <v>0.17821300000000001</v>
      </c>
      <c r="W11" s="66">
        <v>44743</v>
      </c>
      <c r="X11" s="66">
        <v>44958</v>
      </c>
    </row>
    <row r="12" spans="1:24" ht="15">
      <c r="A12" s="58">
        <v>42736</v>
      </c>
      <c r="B12" s="56">
        <v>99.450999999999993</v>
      </c>
      <c r="P12" s="65">
        <v>11</v>
      </c>
      <c r="Q12" s="63">
        <v>5</v>
      </c>
      <c r="R12" s="67">
        <v>25.347090000000001</v>
      </c>
      <c r="S12" s="67">
        <v>-0.329953</v>
      </c>
      <c r="T12" s="67">
        <v>0.84996700000000003</v>
      </c>
      <c r="U12" s="67">
        <v>6.4058000000000004E-2</v>
      </c>
      <c r="V12" s="67">
        <v>0.25309599999999999</v>
      </c>
      <c r="W12" s="66">
        <v>44986</v>
      </c>
      <c r="X12" s="66">
        <v>45108</v>
      </c>
    </row>
    <row r="13" spans="1:24" ht="15">
      <c r="A13" s="58">
        <v>42767</v>
      </c>
      <c r="B13" s="56">
        <v>99.585999999999999</v>
      </c>
      <c r="P13" s="65">
        <v>12</v>
      </c>
      <c r="Q13" s="63">
        <v>5</v>
      </c>
      <c r="R13" s="67">
        <v>17.637257999999999</v>
      </c>
      <c r="S13" s="67">
        <v>-0.20852899999999999</v>
      </c>
      <c r="T13" s="67">
        <v>0.881969</v>
      </c>
      <c r="U13" s="67">
        <v>1.9397999999999999E-2</v>
      </c>
      <c r="V13" s="67">
        <v>0.13927600000000001</v>
      </c>
      <c r="W13" s="66">
        <v>45139</v>
      </c>
      <c r="X13" s="66">
        <v>45261</v>
      </c>
    </row>
    <row r="14" spans="1:24" ht="15">
      <c r="A14" s="58">
        <v>42795</v>
      </c>
      <c r="B14" s="56">
        <v>99.534999999999997</v>
      </c>
      <c r="P14" s="65">
        <v>13</v>
      </c>
      <c r="Q14" s="63">
        <v>9</v>
      </c>
      <c r="R14" s="67">
        <v>7.5471389999999996</v>
      </c>
      <c r="S14" s="67">
        <v>-6.5418000000000004E-2</v>
      </c>
      <c r="T14" s="67">
        <v>0.67760699999999996</v>
      </c>
      <c r="U14" s="67">
        <v>1.7451999999999999E-2</v>
      </c>
      <c r="V14" s="67">
        <v>0.132107</v>
      </c>
      <c r="W14" s="66">
        <v>45292</v>
      </c>
      <c r="X14" s="66">
        <v>45536</v>
      </c>
    </row>
    <row r="15" spans="1:24" ht="15">
      <c r="A15" s="58">
        <v>42826</v>
      </c>
      <c r="B15" s="56">
        <v>99.724999999999994</v>
      </c>
      <c r="P15" s="65">
        <v>14</v>
      </c>
      <c r="Q15" s="63">
        <v>5</v>
      </c>
      <c r="R15" s="67">
        <v>-3.9245580000000002</v>
      </c>
      <c r="S15" s="67">
        <v>7.6813000000000006E-2</v>
      </c>
      <c r="T15" s="67">
        <v>0.866259</v>
      </c>
      <c r="U15" s="67">
        <v>3.0360000000000001E-3</v>
      </c>
      <c r="V15" s="67">
        <v>5.5104E-2</v>
      </c>
      <c r="W15" s="66">
        <v>45566</v>
      </c>
      <c r="X15" s="66">
        <v>45689</v>
      </c>
    </row>
    <row r="16" spans="1:24" ht="15">
      <c r="A16" s="58">
        <v>42856</v>
      </c>
      <c r="B16" s="56">
        <v>99.682000000000002</v>
      </c>
      <c r="P16" s="65">
        <v>15</v>
      </c>
      <c r="Q16" s="63">
        <v>5</v>
      </c>
      <c r="R16" s="67">
        <v>-5.1065189999999996</v>
      </c>
      <c r="S16" s="67">
        <v>8.4614999999999996E-2</v>
      </c>
      <c r="T16" s="67">
        <v>0.74346500000000004</v>
      </c>
      <c r="U16" s="67">
        <v>8.2349999999999993E-3</v>
      </c>
      <c r="V16" s="67">
        <v>9.0746999999999994E-2</v>
      </c>
      <c r="W16" s="66">
        <v>45717</v>
      </c>
      <c r="X16" s="66">
        <v>45839</v>
      </c>
    </row>
    <row r="17" spans="1:9" ht="15">
      <c r="A17" s="58">
        <v>42887</v>
      </c>
      <c r="B17" s="56">
        <v>99.766000000000005</v>
      </c>
    </row>
    <row r="18" spans="1:9" ht="15">
      <c r="A18" s="58">
        <v>42917</v>
      </c>
      <c r="B18" s="56">
        <v>99.802999999999997</v>
      </c>
    </row>
    <row r="19" spans="1:9" ht="15">
      <c r="A19" s="58">
        <v>42948</v>
      </c>
      <c r="B19" s="56">
        <v>100.027</v>
      </c>
    </row>
    <row r="20" spans="1:9" ht="15">
      <c r="A20" s="58">
        <v>42979</v>
      </c>
      <c r="B20" s="56">
        <v>100.4</v>
      </c>
    </row>
    <row r="21" spans="1:9" ht="15">
      <c r="A21" s="58">
        <v>43009</v>
      </c>
      <c r="B21" s="56">
        <v>100.53100000000001</v>
      </c>
    </row>
    <row r="22" spans="1:9" ht="15">
      <c r="A22" s="58">
        <v>43040</v>
      </c>
      <c r="B22" s="56">
        <v>100.675</v>
      </c>
    </row>
    <row r="23" spans="1:9" ht="15">
      <c r="A23" s="58">
        <v>43070</v>
      </c>
      <c r="B23" s="56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5">
      <c r="A24" s="10">
        <v>43101</v>
      </c>
      <c r="B24" s="56">
        <v>101.199</v>
      </c>
      <c r="C24" s="31">
        <v>1</v>
      </c>
      <c r="D24" s="31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 ht="15">
      <c r="A25" s="10">
        <v>43132</v>
      </c>
      <c r="B25" s="56">
        <v>101.416</v>
      </c>
      <c r="C25" s="31">
        <v>2</v>
      </c>
      <c r="D25" s="31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373</v>
      </c>
    </row>
    <row r="26" spans="1:9" ht="15">
      <c r="A26" s="10">
        <v>43160</v>
      </c>
      <c r="B26" s="56">
        <v>101.524</v>
      </c>
      <c r="C26" s="31">
        <v>3</v>
      </c>
      <c r="D26" s="31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 ht="15">
      <c r="A27" s="10">
        <v>43191</v>
      </c>
      <c r="B27" s="56">
        <v>101.76600000000001</v>
      </c>
      <c r="C27" s="31">
        <v>4</v>
      </c>
      <c r="D27" s="31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 ht="15">
      <c r="A28" s="10">
        <v>43221</v>
      </c>
      <c r="B28" s="56">
        <v>101.941</v>
      </c>
      <c r="C28" s="31">
        <v>5</v>
      </c>
      <c r="D28" s="31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 ht="15">
      <c r="A29" s="16">
        <v>43252</v>
      </c>
      <c r="B29" s="56">
        <v>102.029</v>
      </c>
      <c r="C29" s="31">
        <v>6</v>
      </c>
      <c r="D29" s="31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 ht="15">
      <c r="A30" s="10">
        <v>43282</v>
      </c>
      <c r="B30" s="56">
        <v>102.137</v>
      </c>
      <c r="C30" s="31">
        <v>7</v>
      </c>
      <c r="D30" s="31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 ht="15">
      <c r="A31" s="10">
        <v>43313</v>
      </c>
      <c r="B31" s="56">
        <v>102.208</v>
      </c>
      <c r="C31" s="31">
        <v>8</v>
      </c>
      <c r="D31" s="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 ht="15">
      <c r="A32" s="10">
        <v>43344</v>
      </c>
      <c r="B32" s="56">
        <v>102.41800000000001</v>
      </c>
      <c r="C32" s="31">
        <v>9</v>
      </c>
      <c r="D32" s="31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 ht="15">
      <c r="A33" s="10">
        <v>43374</v>
      </c>
      <c r="B33" s="56">
        <v>102.595</v>
      </c>
      <c r="C33" s="31">
        <v>10</v>
      </c>
      <c r="D33" s="31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 ht="15">
      <c r="A34" s="10">
        <v>43405</v>
      </c>
      <c r="B34" s="56">
        <v>102.63</v>
      </c>
      <c r="C34" s="31">
        <v>11</v>
      </c>
      <c r="D34" s="31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 ht="15">
      <c r="A35" s="10">
        <v>43435</v>
      </c>
      <c r="B35" s="56">
        <v>102.70099999999999</v>
      </c>
      <c r="C35" s="31">
        <v>12</v>
      </c>
      <c r="D35" s="31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 ht="15">
      <c r="A36" s="16">
        <v>43466</v>
      </c>
      <c r="B36" s="56">
        <v>102.648</v>
      </c>
      <c r="C36" s="31">
        <v>13</v>
      </c>
      <c r="D36" s="31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 ht="15">
      <c r="A37" s="10">
        <v>43497</v>
      </c>
      <c r="B37" s="56">
        <v>102.836</v>
      </c>
      <c r="C37" s="31">
        <v>14</v>
      </c>
      <c r="D37" s="31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 ht="15">
      <c r="A38" s="10">
        <v>43525</v>
      </c>
      <c r="B38" s="56">
        <v>103.069</v>
      </c>
      <c r="C38" s="31">
        <v>15</v>
      </c>
      <c r="D38" s="31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 ht="15">
      <c r="A39" s="10">
        <v>43556</v>
      </c>
      <c r="B39" s="56">
        <v>103.36</v>
      </c>
      <c r="C39" s="31">
        <v>16</v>
      </c>
      <c r="D39" s="31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 ht="15">
      <c r="A40" s="10">
        <v>43586</v>
      </c>
      <c r="B40" s="56">
        <v>103.435</v>
      </c>
      <c r="C40" s="31">
        <v>17</v>
      </c>
      <c r="D40" s="31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 ht="15">
      <c r="A41" s="16">
        <v>43617</v>
      </c>
      <c r="B41" s="56">
        <v>103.48399999999999</v>
      </c>
      <c r="C41" s="31">
        <v>18</v>
      </c>
      <c r="D41" s="31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 ht="15">
      <c r="A42" s="10">
        <v>43647</v>
      </c>
      <c r="B42" s="56">
        <v>103.622</v>
      </c>
      <c r="C42" s="31">
        <v>19</v>
      </c>
      <c r="D42" s="31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 ht="15">
      <c r="A43" s="10">
        <v>43678</v>
      </c>
      <c r="B43" s="56">
        <v>103.67</v>
      </c>
      <c r="C43" s="31">
        <v>20</v>
      </c>
      <c r="D43" s="31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 ht="15">
      <c r="A44" s="10">
        <v>43709</v>
      </c>
      <c r="B44" s="56">
        <v>103.733</v>
      </c>
      <c r="C44" s="31">
        <v>21</v>
      </c>
      <c r="D44" s="31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 ht="15">
      <c r="A45" s="10">
        <v>43739</v>
      </c>
      <c r="B45" s="56">
        <v>103.917</v>
      </c>
      <c r="C45" s="31">
        <v>22</v>
      </c>
      <c r="D45" s="31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 ht="15">
      <c r="A46" s="16">
        <v>43770</v>
      </c>
      <c r="B46" s="56">
        <v>104.024</v>
      </c>
      <c r="C46" s="31">
        <v>23</v>
      </c>
      <c r="D46" s="31">
        <f t="shared" si="0"/>
        <v>1.3582773068303668</v>
      </c>
      <c r="E46">
        <v>23</v>
      </c>
      <c r="F46">
        <v>23</v>
      </c>
      <c r="G46">
        <v>1.358277307</v>
      </c>
      <c r="H46">
        <v>1.7312877777</v>
      </c>
      <c r="I46" t="s">
        <v>223</v>
      </c>
    </row>
    <row r="47" spans="1:9" ht="15">
      <c r="A47" s="10">
        <v>43800</v>
      </c>
      <c r="B47" s="56">
        <v>104.307</v>
      </c>
      <c r="C47" s="31">
        <v>24</v>
      </c>
      <c r="D47" s="31">
        <f t="shared" si="0"/>
        <v>1.5637627676458932</v>
      </c>
      <c r="E47">
        <v>24</v>
      </c>
      <c r="F47">
        <v>24</v>
      </c>
      <c r="G47">
        <v>1.5637627679999999</v>
      </c>
      <c r="H47">
        <v>1.5609958544</v>
      </c>
      <c r="I47" t="s">
        <v>224</v>
      </c>
    </row>
    <row r="48" spans="1:9" ht="15">
      <c r="A48" s="10">
        <v>43831</v>
      </c>
      <c r="B48" s="56">
        <v>104.419</v>
      </c>
      <c r="C48" s="31">
        <v>25</v>
      </c>
      <c r="D48" s="31">
        <f t="shared" si="0"/>
        <v>1.7253136933988007</v>
      </c>
      <c r="E48">
        <v>25</v>
      </c>
      <c r="F48">
        <v>25</v>
      </c>
      <c r="G48">
        <v>1.7253136929999999</v>
      </c>
      <c r="H48">
        <v>1.3907039311</v>
      </c>
      <c r="I48" t="s">
        <v>225</v>
      </c>
    </row>
    <row r="49" spans="1:9" ht="15">
      <c r="A49" s="10">
        <v>43862</v>
      </c>
      <c r="B49" s="56">
        <v>104.541</v>
      </c>
      <c r="C49" s="31">
        <v>26</v>
      </c>
      <c r="D49" s="31">
        <f t="shared" si="0"/>
        <v>1.6579796958263626</v>
      </c>
      <c r="E49">
        <v>26</v>
      </c>
      <c r="F49">
        <v>26</v>
      </c>
      <c r="G49">
        <v>1.6579796959999999</v>
      </c>
      <c r="H49">
        <v>1.2204120079</v>
      </c>
      <c r="I49" t="s">
        <v>226</v>
      </c>
    </row>
    <row r="50" spans="1:9" ht="15">
      <c r="A50" s="10">
        <v>43891</v>
      </c>
      <c r="B50" s="56">
        <v>104.252</v>
      </c>
      <c r="C50" s="31">
        <v>27</v>
      </c>
      <c r="D50" s="31">
        <f t="shared" si="0"/>
        <v>1.1477747916444252</v>
      </c>
      <c r="E50">
        <v>27</v>
      </c>
      <c r="F50">
        <v>27</v>
      </c>
      <c r="G50">
        <v>1.1477747920000001</v>
      </c>
      <c r="H50">
        <v>1.0501200846000001</v>
      </c>
      <c r="I50" t="s">
        <v>227</v>
      </c>
    </row>
    <row r="51" spans="1:9" ht="15">
      <c r="A51" s="10">
        <v>43922</v>
      </c>
      <c r="B51" s="56">
        <v>103.81699999999999</v>
      </c>
      <c r="C51" s="31">
        <v>28</v>
      </c>
      <c r="D51" s="31">
        <f t="shared" si="0"/>
        <v>0.44214396284829105</v>
      </c>
      <c r="E51">
        <v>28</v>
      </c>
      <c r="F51">
        <v>28</v>
      </c>
      <c r="G51">
        <v>0.44214396299999997</v>
      </c>
      <c r="H51">
        <v>0.87982816139999998</v>
      </c>
      <c r="I51" t="s">
        <v>228</v>
      </c>
    </row>
    <row r="52" spans="1:9" ht="15">
      <c r="A52" s="10">
        <v>43952</v>
      </c>
      <c r="B52" s="56">
        <v>103.914</v>
      </c>
      <c r="C52" s="31">
        <v>29</v>
      </c>
      <c r="D52" s="31">
        <f t="shared" si="0"/>
        <v>0.46309276357132423</v>
      </c>
      <c r="E52">
        <v>29</v>
      </c>
      <c r="F52">
        <v>29</v>
      </c>
      <c r="G52">
        <v>0.46309276399999999</v>
      </c>
      <c r="H52">
        <v>0.70953623809999999</v>
      </c>
      <c r="I52" t="s">
        <v>229</v>
      </c>
    </row>
    <row r="53" spans="1:9" ht="15">
      <c r="A53" s="10">
        <v>43983</v>
      </c>
      <c r="B53" s="56">
        <v>104.233</v>
      </c>
      <c r="C53" s="31">
        <v>30</v>
      </c>
      <c r="D53" s="31">
        <f t="shared" si="0"/>
        <v>0.7237833868037663</v>
      </c>
      <c r="E53">
        <v>30</v>
      </c>
      <c r="F53">
        <v>30</v>
      </c>
      <c r="G53">
        <v>0.723783387</v>
      </c>
      <c r="H53">
        <v>0.53924431480000001</v>
      </c>
      <c r="I53" t="s">
        <v>230</v>
      </c>
    </row>
    <row r="54" spans="1:9" ht="15">
      <c r="A54" s="16">
        <v>44013</v>
      </c>
      <c r="B54" s="56">
        <v>104.56399999999999</v>
      </c>
      <c r="C54" s="31">
        <v>31</v>
      </c>
      <c r="D54" s="31">
        <f t="shared" si="0"/>
        <v>0.90907336279939888</v>
      </c>
      <c r="E54">
        <v>31</v>
      </c>
      <c r="F54">
        <v>31</v>
      </c>
      <c r="G54">
        <v>0.90907336299999997</v>
      </c>
      <c r="H54">
        <v>0.93293996089999998</v>
      </c>
      <c r="I54" t="s">
        <v>231</v>
      </c>
    </row>
    <row r="55" spans="1:9" ht="15">
      <c r="A55" s="10">
        <v>44044</v>
      </c>
      <c r="B55" s="56">
        <v>104.887</v>
      </c>
      <c r="C55" s="31">
        <v>32</v>
      </c>
      <c r="D55" s="31">
        <f t="shared" si="0"/>
        <v>1.1739172373878641</v>
      </c>
      <c r="E55">
        <v>32</v>
      </c>
      <c r="F55">
        <v>32</v>
      </c>
      <c r="G55">
        <v>1.1739172369999999</v>
      </c>
      <c r="H55">
        <v>1.0382822183</v>
      </c>
      <c r="I55" t="s">
        <v>232</v>
      </c>
    </row>
    <row r="56" spans="1:9" ht="15">
      <c r="A56" s="10">
        <v>44075</v>
      </c>
      <c r="B56" s="56">
        <v>105.04600000000001</v>
      </c>
      <c r="C56" s="31">
        <v>33</v>
      </c>
      <c r="D56" s="31">
        <f t="shared" si="0"/>
        <v>1.2657495686040146</v>
      </c>
      <c r="E56">
        <v>33</v>
      </c>
      <c r="F56">
        <v>33</v>
      </c>
      <c r="G56">
        <v>1.265749569</v>
      </c>
      <c r="H56">
        <v>1.1436244756</v>
      </c>
      <c r="I56" t="s">
        <v>233</v>
      </c>
    </row>
    <row r="57" spans="1:9" ht="15">
      <c r="A57" s="10">
        <v>44105</v>
      </c>
      <c r="B57" s="56">
        <v>105.10599999999999</v>
      </c>
      <c r="C57" s="31">
        <v>34</v>
      </c>
      <c r="D57" s="31">
        <f t="shared" si="0"/>
        <v>1.144182376319556</v>
      </c>
      <c r="E57">
        <v>34</v>
      </c>
      <c r="F57">
        <v>34</v>
      </c>
      <c r="G57">
        <v>1.1441823760000001</v>
      </c>
      <c r="H57">
        <v>1.2489667330000001</v>
      </c>
      <c r="I57" t="s">
        <v>234</v>
      </c>
    </row>
    <row r="58" spans="1:9" ht="15">
      <c r="A58" s="10">
        <v>44136</v>
      </c>
      <c r="B58" s="56">
        <v>105.22499999999999</v>
      </c>
      <c r="C58" s="31">
        <v>35</v>
      </c>
      <c r="D58" s="31">
        <f t="shared" si="0"/>
        <v>1.1545412597092914</v>
      </c>
      <c r="E58">
        <v>35</v>
      </c>
      <c r="F58">
        <v>35</v>
      </c>
      <c r="G58">
        <v>1.15454126</v>
      </c>
      <c r="H58">
        <v>1.3543089903000001</v>
      </c>
      <c r="I58" t="s">
        <v>109</v>
      </c>
    </row>
    <row r="59" spans="1:9" ht="15">
      <c r="A59" s="10">
        <v>44166</v>
      </c>
      <c r="B59" s="56">
        <v>105.69</v>
      </c>
      <c r="C59" s="31">
        <v>36</v>
      </c>
      <c r="D59" s="31">
        <f t="shared" si="0"/>
        <v>1.3258937559320041</v>
      </c>
      <c r="E59">
        <v>36</v>
      </c>
      <c r="F59">
        <v>36</v>
      </c>
      <c r="G59">
        <v>1.3258937559999999</v>
      </c>
      <c r="H59">
        <v>1.4596512476000001</v>
      </c>
      <c r="I59" t="s">
        <v>235</v>
      </c>
    </row>
    <row r="60" spans="1:9" ht="15">
      <c r="A60" s="10">
        <v>44197</v>
      </c>
      <c r="B60" s="56">
        <v>106.083</v>
      </c>
      <c r="C60" s="31">
        <v>37</v>
      </c>
      <c r="D60" s="31">
        <f t="shared" si="0"/>
        <v>1.5935797125044306</v>
      </c>
      <c r="E60">
        <v>37</v>
      </c>
      <c r="F60">
        <v>37</v>
      </c>
      <c r="G60">
        <v>1.593579713</v>
      </c>
      <c r="H60">
        <v>1.5649935049999999</v>
      </c>
      <c r="I60" t="s">
        <v>236</v>
      </c>
    </row>
    <row r="61" spans="1:9" ht="15">
      <c r="A61" s="10">
        <v>44228</v>
      </c>
      <c r="B61" s="56">
        <v>106.471</v>
      </c>
      <c r="C61" s="31">
        <v>38</v>
      </c>
      <c r="D61" s="31">
        <f t="shared" si="0"/>
        <v>1.846165619230739</v>
      </c>
      <c r="E61">
        <v>38</v>
      </c>
      <c r="F61">
        <v>38</v>
      </c>
      <c r="G61">
        <v>1.846165619</v>
      </c>
      <c r="H61">
        <v>1.6703357622999999</v>
      </c>
      <c r="I61" t="s">
        <v>237</v>
      </c>
    </row>
    <row r="62" spans="1:9" ht="15">
      <c r="A62" s="16">
        <v>44256</v>
      </c>
      <c r="B62" s="56">
        <v>107.032</v>
      </c>
      <c r="C62" s="31">
        <v>39</v>
      </c>
      <c r="D62" s="31">
        <f t="shared" si="0"/>
        <v>2.6666155085753762</v>
      </c>
      <c r="E62">
        <v>39</v>
      </c>
      <c r="F62">
        <v>39</v>
      </c>
      <c r="G62">
        <v>2.6666155090000001</v>
      </c>
      <c r="H62">
        <v>2.9906219456000001</v>
      </c>
      <c r="I62" t="s">
        <v>238</v>
      </c>
    </row>
    <row r="63" spans="1:9" ht="15">
      <c r="A63" s="10">
        <v>44287</v>
      </c>
      <c r="B63" s="56">
        <v>107.63200000000001</v>
      </c>
      <c r="C63" s="31">
        <v>40</v>
      </c>
      <c r="D63" s="31">
        <f t="shared" si="0"/>
        <v>3.6747353516283576</v>
      </c>
      <c r="E63">
        <v>40</v>
      </c>
      <c r="F63">
        <v>40</v>
      </c>
      <c r="G63">
        <v>3.6747353519999999</v>
      </c>
      <c r="H63">
        <v>3.4240644095000001</v>
      </c>
      <c r="I63" t="s">
        <v>110</v>
      </c>
    </row>
    <row r="64" spans="1:9" ht="15">
      <c r="A64" s="10">
        <v>44317</v>
      </c>
      <c r="B64" s="56">
        <v>108.184</v>
      </c>
      <c r="C64" s="31">
        <v>41</v>
      </c>
      <c r="D64" s="31">
        <f t="shared" si="0"/>
        <v>4.1091671959504934</v>
      </c>
      <c r="E64">
        <v>41</v>
      </c>
      <c r="F64">
        <v>41</v>
      </c>
      <c r="G64">
        <v>4.1091671959999996</v>
      </c>
      <c r="H64">
        <v>3.8575068734000002</v>
      </c>
      <c r="I64" t="s">
        <v>239</v>
      </c>
    </row>
    <row r="65" spans="1:9" ht="15">
      <c r="A65" s="10">
        <v>44348</v>
      </c>
      <c r="B65" s="56">
        <v>108.748</v>
      </c>
      <c r="C65" s="31">
        <v>42</v>
      </c>
      <c r="D65" s="31">
        <f t="shared" si="0"/>
        <v>4.3316416106223556</v>
      </c>
      <c r="E65">
        <v>42</v>
      </c>
      <c r="F65">
        <v>42</v>
      </c>
      <c r="G65">
        <v>4.3316416110000002</v>
      </c>
      <c r="H65">
        <v>4.2909493372999998</v>
      </c>
      <c r="I65" t="s">
        <v>240</v>
      </c>
    </row>
    <row r="66" spans="1:9" ht="15">
      <c r="A66" s="10">
        <v>44378</v>
      </c>
      <c r="B66" s="56">
        <v>109.27500000000001</v>
      </c>
      <c r="C66" s="31">
        <v>43</v>
      </c>
      <c r="D66" s="31">
        <f t="shared" si="0"/>
        <v>4.5053746987491037</v>
      </c>
      <c r="E66">
        <v>43</v>
      </c>
      <c r="F66">
        <v>43</v>
      </c>
      <c r="G66">
        <v>4.5053746989999999</v>
      </c>
      <c r="H66">
        <v>4.7243918012000004</v>
      </c>
      <c r="I66" t="s">
        <v>241</v>
      </c>
    </row>
    <row r="67" spans="1:9" ht="15">
      <c r="A67" s="16">
        <v>44409</v>
      </c>
      <c r="B67" s="56">
        <v>109.72</v>
      </c>
      <c r="C67" s="31">
        <v>44</v>
      </c>
      <c r="D67" s="31">
        <f t="shared" si="0"/>
        <v>4.6078160305852949</v>
      </c>
      <c r="E67">
        <v>44</v>
      </c>
      <c r="F67">
        <v>44</v>
      </c>
      <c r="G67">
        <v>4.6078160309999996</v>
      </c>
      <c r="H67">
        <v>4.5053705653999998</v>
      </c>
      <c r="I67" t="s">
        <v>242</v>
      </c>
    </row>
    <row r="68" spans="1:9" ht="15">
      <c r="A68" s="10">
        <v>44440</v>
      </c>
      <c r="B68" s="56">
        <v>110.047</v>
      </c>
      <c r="C68" s="31">
        <v>45</v>
      </c>
      <c r="D68" s="31">
        <f t="shared" si="0"/>
        <v>4.7607714715457901</v>
      </c>
      <c r="E68">
        <v>45</v>
      </c>
      <c r="F68">
        <v>45</v>
      </c>
      <c r="G68">
        <v>4.7607714720000001</v>
      </c>
      <c r="H68">
        <v>4.9409002427999997</v>
      </c>
      <c r="I68" t="s">
        <v>243</v>
      </c>
    </row>
    <row r="69" spans="1:9" ht="15">
      <c r="A69" s="10">
        <v>44470</v>
      </c>
      <c r="B69" s="56">
        <v>110.741</v>
      </c>
      <c r="C69" s="31">
        <v>46</v>
      </c>
      <c r="D69" s="31">
        <f t="shared" si="0"/>
        <v>5.3612543527486585</v>
      </c>
      <c r="E69">
        <v>46</v>
      </c>
      <c r="F69">
        <v>46</v>
      </c>
      <c r="G69">
        <v>5.3612543529999996</v>
      </c>
      <c r="H69">
        <v>5.3764299201999997</v>
      </c>
      <c r="I69" t="s">
        <v>244</v>
      </c>
    </row>
    <row r="70" spans="1:9" ht="15">
      <c r="A70" s="10">
        <v>44501</v>
      </c>
      <c r="B70" s="56">
        <v>111.51</v>
      </c>
      <c r="C70" s="31">
        <v>47</v>
      </c>
      <c r="D70" s="31">
        <f t="shared" si="0"/>
        <v>5.9729151817533968</v>
      </c>
      <c r="E70">
        <v>47</v>
      </c>
      <c r="F70">
        <v>47</v>
      </c>
      <c r="G70">
        <v>5.9729151820000004</v>
      </c>
      <c r="H70">
        <v>5.8119595975999996</v>
      </c>
      <c r="I70" t="s">
        <v>245</v>
      </c>
    </row>
    <row r="71" spans="1:9" ht="15">
      <c r="A71" s="10">
        <v>44531</v>
      </c>
      <c r="B71" s="56">
        <v>112.221</v>
      </c>
      <c r="C71" s="31">
        <v>48</v>
      </c>
      <c r="D71" s="31">
        <f t="shared" si="0"/>
        <v>6.1793925631564068</v>
      </c>
      <c r="E71">
        <v>48</v>
      </c>
      <c r="F71">
        <v>48</v>
      </c>
      <c r="G71">
        <v>6.1793925630000004</v>
      </c>
      <c r="H71">
        <v>6.2474892750000004</v>
      </c>
      <c r="I71" t="s">
        <v>246</v>
      </c>
    </row>
    <row r="72" spans="1:9" ht="15">
      <c r="A72" s="16">
        <v>44562</v>
      </c>
      <c r="B72" s="56">
        <v>112.776</v>
      </c>
      <c r="C72" s="31">
        <v>49</v>
      </c>
      <c r="D72" s="31">
        <f t="shared" si="0"/>
        <v>6.3092107123667294</v>
      </c>
      <c r="E72">
        <v>49</v>
      </c>
      <c r="F72">
        <v>49</v>
      </c>
      <c r="G72">
        <v>6.3092107119999996</v>
      </c>
      <c r="H72">
        <v>6.4083166605999997</v>
      </c>
      <c r="I72" t="s">
        <v>247</v>
      </c>
    </row>
    <row r="73" spans="1:9" ht="15">
      <c r="A73" s="10">
        <v>44593</v>
      </c>
      <c r="B73" s="56">
        <v>113.489</v>
      </c>
      <c r="C73" s="31">
        <v>50</v>
      </c>
      <c r="D73" s="31">
        <f t="shared" si="0"/>
        <v>6.5914662208488703</v>
      </c>
      <c r="E73">
        <v>50</v>
      </c>
      <c r="F73">
        <v>50</v>
      </c>
      <c r="G73">
        <v>6.5914662210000001</v>
      </c>
      <c r="H73">
        <v>6.5529590067000001</v>
      </c>
      <c r="I73" t="s">
        <v>248</v>
      </c>
    </row>
    <row r="74" spans="1:9" ht="15">
      <c r="A74" s="10">
        <v>44621</v>
      </c>
      <c r="B74" s="56">
        <v>114.489</v>
      </c>
      <c r="C74" s="31">
        <v>51</v>
      </c>
      <c r="D74" s="31">
        <f t="shared" si="0"/>
        <v>6.9670752672098137</v>
      </c>
      <c r="E74">
        <v>51</v>
      </c>
      <c r="F74">
        <v>51</v>
      </c>
      <c r="G74">
        <v>6.9670752670000002</v>
      </c>
      <c r="H74">
        <v>6.6976013527999996</v>
      </c>
      <c r="I74" t="s">
        <v>249</v>
      </c>
    </row>
    <row r="75" spans="1:9" ht="15">
      <c r="A75" s="10">
        <v>44652</v>
      </c>
      <c r="B75" s="56">
        <v>114.845</v>
      </c>
      <c r="C75" s="31">
        <v>52</v>
      </c>
      <c r="D75" s="31">
        <f t="shared" si="0"/>
        <v>6.7015385758882058</v>
      </c>
      <c r="E75">
        <v>52</v>
      </c>
      <c r="F75">
        <v>52</v>
      </c>
      <c r="G75">
        <v>6.7015385759999999</v>
      </c>
      <c r="H75">
        <v>6.8422436988999999</v>
      </c>
      <c r="I75" t="s">
        <v>250</v>
      </c>
    </row>
    <row r="76" spans="1:9" ht="15">
      <c r="A76" s="10">
        <v>44682</v>
      </c>
      <c r="B76" s="56">
        <v>115.542</v>
      </c>
      <c r="C76" s="31">
        <v>53</v>
      </c>
      <c r="D76" s="31">
        <f t="shared" si="0"/>
        <v>6.8013754344450232</v>
      </c>
      <c r="E76">
        <v>53</v>
      </c>
      <c r="F76">
        <v>53</v>
      </c>
      <c r="G76">
        <v>6.8013754339999997</v>
      </c>
      <c r="H76">
        <v>6.9868860450000003</v>
      </c>
      <c r="I76" t="s">
        <v>251</v>
      </c>
    </row>
    <row r="77" spans="1:9" ht="15">
      <c r="A77" s="10">
        <v>44713</v>
      </c>
      <c r="B77" s="56">
        <v>116.631</v>
      </c>
      <c r="C77" s="31">
        <v>54</v>
      </c>
      <c r="D77" s="31">
        <f t="shared" si="0"/>
        <v>7.2488689447162198</v>
      </c>
      <c r="E77">
        <v>54</v>
      </c>
      <c r="F77">
        <v>54</v>
      </c>
      <c r="G77">
        <v>7.2488689449999999</v>
      </c>
      <c r="H77">
        <v>7.1315283909999998</v>
      </c>
      <c r="I77" t="s">
        <v>252</v>
      </c>
    </row>
    <row r="78" spans="1:9" ht="15">
      <c r="A78" s="16">
        <v>44743</v>
      </c>
      <c r="B78" s="56">
        <v>116.66200000000001</v>
      </c>
      <c r="C78" s="31">
        <v>55</v>
      </c>
      <c r="D78" s="31">
        <f t="shared" si="0"/>
        <v>6.7600091512239766</v>
      </c>
      <c r="E78">
        <v>55</v>
      </c>
      <c r="F78">
        <v>55</v>
      </c>
      <c r="G78">
        <v>6.7600091510000002</v>
      </c>
      <c r="H78">
        <v>6.9431297947999999</v>
      </c>
      <c r="I78" t="s">
        <v>253</v>
      </c>
    </row>
    <row r="79" spans="1:9" ht="15">
      <c r="A79" s="10">
        <v>44774</v>
      </c>
      <c r="B79" s="56">
        <v>117.002</v>
      </c>
      <c r="C79" s="31">
        <v>56</v>
      </c>
      <c r="D79" s="31">
        <f t="shared" si="0"/>
        <v>6.6368939117754246</v>
      </c>
      <c r="E79">
        <v>56</v>
      </c>
      <c r="F79">
        <v>56</v>
      </c>
      <c r="G79">
        <v>6.6368939119999997</v>
      </c>
      <c r="H79">
        <v>6.7013675118</v>
      </c>
      <c r="I79" t="s">
        <v>254</v>
      </c>
    </row>
    <row r="80" spans="1:9" ht="15">
      <c r="A80" s="10">
        <v>44805</v>
      </c>
      <c r="B80" s="56">
        <v>117.377</v>
      </c>
      <c r="C80" s="31">
        <v>57</v>
      </c>
      <c r="D80" s="31">
        <f t="shared" si="0"/>
        <v>6.6607903895608223</v>
      </c>
      <c r="E80">
        <v>57</v>
      </c>
      <c r="F80">
        <v>57</v>
      </c>
      <c r="G80">
        <v>6.6607903899999998</v>
      </c>
      <c r="H80">
        <v>6.4596052288000001</v>
      </c>
      <c r="I80" t="s">
        <v>255</v>
      </c>
    </row>
    <row r="81" spans="1:9" ht="15">
      <c r="A81" s="10">
        <v>44835</v>
      </c>
      <c r="B81" s="56">
        <v>117.89100000000001</v>
      </c>
      <c r="C81" s="31">
        <v>58</v>
      </c>
      <c r="D81" s="31">
        <f t="shared" si="0"/>
        <v>6.4565066235630937</v>
      </c>
      <c r="E81">
        <v>58</v>
      </c>
      <c r="F81">
        <v>58</v>
      </c>
      <c r="G81">
        <v>6.4565066240000002</v>
      </c>
      <c r="H81">
        <v>6.2178429458000002</v>
      </c>
      <c r="I81" t="s">
        <v>256</v>
      </c>
    </row>
    <row r="82" spans="1:9" ht="15">
      <c r="A82" s="10">
        <v>44866</v>
      </c>
      <c r="B82" s="56">
        <v>118.221</v>
      </c>
      <c r="C82" s="31">
        <v>59</v>
      </c>
      <c r="D82" s="31">
        <f t="shared" si="0"/>
        <v>6.0182943233790684</v>
      </c>
      <c r="E82">
        <v>59</v>
      </c>
      <c r="F82">
        <v>59</v>
      </c>
      <c r="G82">
        <v>6.0182943230000001</v>
      </c>
      <c r="H82">
        <v>5.9760806627000003</v>
      </c>
      <c r="I82" t="s">
        <v>257</v>
      </c>
    </row>
    <row r="83" spans="1:9" ht="15">
      <c r="A83" s="10">
        <v>44896</v>
      </c>
      <c r="B83" s="56">
        <v>118.40300000000001</v>
      </c>
      <c r="C83" s="31">
        <v>60</v>
      </c>
      <c r="D83" s="31">
        <f t="shared" si="0"/>
        <v>5.508772867823315</v>
      </c>
      <c r="E83">
        <v>60</v>
      </c>
      <c r="F83">
        <v>60</v>
      </c>
      <c r="G83">
        <v>5.5087728680000003</v>
      </c>
      <c r="H83">
        <v>5.7343183797000004</v>
      </c>
      <c r="I83" t="s">
        <v>258</v>
      </c>
    </row>
    <row r="84" spans="1:9" ht="15">
      <c r="A84" s="10">
        <v>44927</v>
      </c>
      <c r="B84" s="56">
        <v>119.00700000000001</v>
      </c>
      <c r="C84" s="31">
        <v>61</v>
      </c>
      <c r="D84" s="31">
        <f t="shared" si="0"/>
        <v>5.5251117258991354</v>
      </c>
      <c r="E84">
        <v>61</v>
      </c>
      <c r="F84">
        <v>61</v>
      </c>
      <c r="G84">
        <v>5.5251117259999996</v>
      </c>
      <c r="H84">
        <v>5.4925560966999996</v>
      </c>
      <c r="I84" t="s">
        <v>259</v>
      </c>
    </row>
    <row r="85" spans="1:9" ht="15">
      <c r="A85" s="10">
        <v>44958</v>
      </c>
      <c r="B85" s="56">
        <v>119.401</v>
      </c>
      <c r="C85" s="31">
        <v>62</v>
      </c>
      <c r="D85" s="31">
        <f t="shared" si="0"/>
        <v>5.2093154402629249</v>
      </c>
      <c r="E85">
        <v>62</v>
      </c>
      <c r="F85">
        <v>62</v>
      </c>
      <c r="G85">
        <v>5.2093154400000001</v>
      </c>
      <c r="H85">
        <v>5.2507938136999996</v>
      </c>
      <c r="I85" t="s">
        <v>260</v>
      </c>
    </row>
    <row r="86" spans="1:9" ht="15">
      <c r="A86" s="16">
        <v>44986</v>
      </c>
      <c r="B86" s="56">
        <v>119.553</v>
      </c>
      <c r="C86" s="31">
        <v>63</v>
      </c>
      <c r="D86" s="31">
        <f t="shared" si="0"/>
        <v>4.4231323533265146</v>
      </c>
      <c r="E86">
        <v>63</v>
      </c>
      <c r="F86">
        <v>63</v>
      </c>
      <c r="G86">
        <v>4.4231323529999997</v>
      </c>
      <c r="H86">
        <v>4.5600252061999997</v>
      </c>
      <c r="I86" t="s">
        <v>261</v>
      </c>
    </row>
    <row r="87" spans="1:9" ht="15">
      <c r="A87" s="10">
        <v>45017</v>
      </c>
      <c r="B87" s="56">
        <v>119.97</v>
      </c>
      <c r="C87" s="31">
        <v>64</v>
      </c>
      <c r="D87" s="31">
        <f t="shared" si="0"/>
        <v>4.4625364621881669</v>
      </c>
      <c r="E87">
        <v>64</v>
      </c>
      <c r="F87">
        <v>64</v>
      </c>
      <c r="G87">
        <v>4.4625364620000001</v>
      </c>
      <c r="H87">
        <v>4.2300717911000003</v>
      </c>
      <c r="I87" t="s">
        <v>262</v>
      </c>
    </row>
    <row r="88" spans="1:9" ht="15">
      <c r="A88" s="10">
        <v>45047</v>
      </c>
      <c r="B88" s="56">
        <v>120.14</v>
      </c>
      <c r="C88" s="31">
        <v>65</v>
      </c>
      <c r="D88" s="31">
        <f t="shared" si="0"/>
        <v>3.9795052881203361</v>
      </c>
      <c r="E88">
        <v>65</v>
      </c>
      <c r="F88">
        <v>65</v>
      </c>
      <c r="G88">
        <v>3.9795052879999999</v>
      </c>
      <c r="H88">
        <v>3.900118376</v>
      </c>
      <c r="I88" t="s">
        <v>263</v>
      </c>
    </row>
    <row r="89" spans="1:9" ht="15">
      <c r="A89" s="10">
        <v>45078</v>
      </c>
      <c r="B89" s="56">
        <v>120.435</v>
      </c>
      <c r="C89" s="31">
        <v>66</v>
      </c>
      <c r="D89" s="31">
        <f t="shared" si="0"/>
        <v>3.2615685366669256</v>
      </c>
      <c r="E89">
        <v>66</v>
      </c>
      <c r="F89">
        <v>66</v>
      </c>
      <c r="G89">
        <v>3.261568537</v>
      </c>
      <c r="H89">
        <v>3.5701649609000001</v>
      </c>
      <c r="I89" t="s">
        <v>264</v>
      </c>
    </row>
    <row r="90" spans="1:9" ht="15">
      <c r="A90" s="10">
        <v>45108</v>
      </c>
      <c r="B90" s="56">
        <v>120.598</v>
      </c>
      <c r="C90" s="31">
        <v>67</v>
      </c>
      <c r="D90" s="31">
        <f t="shared" ref="D90:D113" si="1">100*(B90-B78)/B78</f>
        <v>3.3738492396838669</v>
      </c>
      <c r="E90">
        <v>67</v>
      </c>
      <c r="F90">
        <v>67</v>
      </c>
      <c r="G90">
        <v>3.3738492400000002</v>
      </c>
      <c r="H90">
        <v>3.2402115457999998</v>
      </c>
      <c r="I90" t="s">
        <v>265</v>
      </c>
    </row>
    <row r="91" spans="1:9" ht="15">
      <c r="A91" s="16">
        <v>45139</v>
      </c>
      <c r="B91" s="56">
        <v>120.965</v>
      </c>
      <c r="C91" s="31">
        <v>68</v>
      </c>
      <c r="D91" s="31">
        <f t="shared" si="1"/>
        <v>3.3871215876651752</v>
      </c>
      <c r="E91">
        <v>68</v>
      </c>
      <c r="F91">
        <v>68</v>
      </c>
      <c r="G91">
        <v>3.3871215879999998</v>
      </c>
      <c r="H91">
        <v>3.4573101756</v>
      </c>
      <c r="I91" t="s">
        <v>266</v>
      </c>
    </row>
    <row r="92" spans="1:9" ht="15">
      <c r="A92" s="10">
        <v>45170</v>
      </c>
      <c r="B92" s="56">
        <v>121.387</v>
      </c>
      <c r="C92" s="31">
        <v>69</v>
      </c>
      <c r="D92" s="31">
        <f t="shared" si="1"/>
        <v>3.4163422135512111</v>
      </c>
      <c r="E92">
        <v>69</v>
      </c>
      <c r="F92">
        <v>69</v>
      </c>
      <c r="G92">
        <v>3.4163422140000002</v>
      </c>
      <c r="H92">
        <v>3.2487815328999998</v>
      </c>
      <c r="I92" t="s">
        <v>273</v>
      </c>
    </row>
    <row r="93" spans="1:9" ht="15">
      <c r="A93" s="10">
        <v>45200</v>
      </c>
      <c r="B93" s="56">
        <v>121.42100000000001</v>
      </c>
      <c r="C93" s="31">
        <v>70</v>
      </c>
      <c r="D93" s="31">
        <f t="shared" si="1"/>
        <v>2.9942913369129118</v>
      </c>
      <c r="E93">
        <v>70</v>
      </c>
      <c r="F93">
        <v>70</v>
      </c>
      <c r="G93">
        <v>2.9942913369999999</v>
      </c>
      <c r="H93">
        <v>3.0402528902000001</v>
      </c>
      <c r="I93" t="s">
        <v>274</v>
      </c>
    </row>
    <row r="94" spans="1:9" ht="15">
      <c r="A94" s="10">
        <v>45231</v>
      </c>
      <c r="B94" s="56">
        <v>121.41500000000001</v>
      </c>
      <c r="C94" s="31">
        <v>71</v>
      </c>
      <c r="D94" s="31">
        <f t="shared" si="1"/>
        <v>2.7017196606355913</v>
      </c>
      <c r="E94">
        <v>71</v>
      </c>
      <c r="F94">
        <v>71</v>
      </c>
      <c r="G94">
        <v>2.7017196609999998</v>
      </c>
      <c r="H94">
        <v>2.8317242475</v>
      </c>
      <c r="I94" t="s">
        <v>330</v>
      </c>
    </row>
    <row r="95" spans="1:9" ht="15">
      <c r="A95" s="10">
        <v>45261</v>
      </c>
      <c r="B95" s="56">
        <v>121.602</v>
      </c>
      <c r="C95" s="31">
        <v>72</v>
      </c>
      <c r="D95" s="31">
        <f t="shared" si="1"/>
        <v>2.7017896506000674</v>
      </c>
      <c r="E95">
        <v>72</v>
      </c>
      <c r="F95">
        <v>72</v>
      </c>
      <c r="G95">
        <v>2.7017896509999999</v>
      </c>
      <c r="H95">
        <v>2.6231956047999998</v>
      </c>
      <c r="I95" t="s">
        <v>331</v>
      </c>
    </row>
    <row r="96" spans="1:9" ht="15">
      <c r="A96" s="16">
        <v>45292</v>
      </c>
      <c r="B96" s="56">
        <v>122.11499999999999</v>
      </c>
      <c r="C96" s="14">
        <v>73</v>
      </c>
      <c r="D96" s="14">
        <f t="shared" si="1"/>
        <v>2.6116110817010676</v>
      </c>
      <c r="E96">
        <v>73</v>
      </c>
      <c r="F96">
        <v>73</v>
      </c>
      <c r="G96">
        <v>2.611611082</v>
      </c>
      <c r="H96">
        <v>2.7716413211000002</v>
      </c>
      <c r="I96" t="s">
        <v>332</v>
      </c>
    </row>
    <row r="97" spans="1:12" ht="15">
      <c r="A97" s="10">
        <v>45323</v>
      </c>
      <c r="B97" s="56">
        <v>122.494</v>
      </c>
      <c r="C97" s="31">
        <v>74</v>
      </c>
      <c r="D97" s="31">
        <f t="shared" si="1"/>
        <v>2.5904305659081612</v>
      </c>
      <c r="E97">
        <v>74</v>
      </c>
      <c r="F97">
        <v>74</v>
      </c>
      <c r="G97">
        <v>2.5904305660000002</v>
      </c>
      <c r="H97">
        <v>2.7062235499999998</v>
      </c>
      <c r="I97" t="s">
        <v>339</v>
      </c>
    </row>
    <row r="98" spans="1:12" ht="15">
      <c r="A98" s="10">
        <v>45352</v>
      </c>
      <c r="B98" s="56">
        <v>122.91200000000001</v>
      </c>
      <c r="C98" s="31">
        <v>75</v>
      </c>
      <c r="D98" s="31">
        <f t="shared" si="1"/>
        <v>2.8096325479076301</v>
      </c>
      <c r="E98">
        <v>75</v>
      </c>
      <c r="F98">
        <v>75</v>
      </c>
      <c r="G98">
        <v>2.8096325480000002</v>
      </c>
      <c r="H98">
        <v>2.6408057787999999</v>
      </c>
      <c r="I98" t="s">
        <v>340</v>
      </c>
    </row>
    <row r="99" spans="1:12" ht="15">
      <c r="A99" s="10">
        <v>45383</v>
      </c>
      <c r="B99" s="56">
        <v>123.23399999999999</v>
      </c>
      <c r="C99" s="31">
        <v>76</v>
      </c>
      <c r="D99" s="31">
        <f t="shared" si="1"/>
        <v>2.720680170042507</v>
      </c>
      <c r="E99">
        <v>76</v>
      </c>
      <c r="F99">
        <v>76</v>
      </c>
      <c r="G99">
        <v>2.7206801700000001</v>
      </c>
      <c r="H99">
        <v>2.5753880077</v>
      </c>
      <c r="I99" t="s">
        <v>374</v>
      </c>
    </row>
    <row r="100" spans="1:12" ht="15">
      <c r="A100" s="10">
        <v>45413</v>
      </c>
      <c r="B100" s="56">
        <v>123.224</v>
      </c>
      <c r="C100" s="31">
        <v>77</v>
      </c>
      <c r="D100" s="31">
        <f t="shared" si="1"/>
        <v>2.5670051606459157</v>
      </c>
      <c r="E100">
        <v>77</v>
      </c>
      <c r="F100">
        <v>77</v>
      </c>
      <c r="G100">
        <v>2.567005161</v>
      </c>
      <c r="H100">
        <v>2.5099702366000001</v>
      </c>
      <c r="I100" t="s">
        <v>375</v>
      </c>
    </row>
    <row r="101" spans="1:12" ht="15">
      <c r="A101" s="10">
        <v>45444</v>
      </c>
      <c r="B101" s="56">
        <v>123.369</v>
      </c>
      <c r="C101" s="31">
        <v>78</v>
      </c>
      <c r="D101" s="31">
        <f t="shared" si="1"/>
        <v>2.4361688877817889</v>
      </c>
      <c r="E101">
        <v>78</v>
      </c>
      <c r="F101">
        <v>78</v>
      </c>
      <c r="G101">
        <v>2.4361688880000001</v>
      </c>
      <c r="H101">
        <v>2.4445524654000002</v>
      </c>
      <c r="I101" t="s">
        <v>376</v>
      </c>
    </row>
    <row r="102" spans="1:12" ht="15">
      <c r="A102" s="10">
        <v>45474</v>
      </c>
      <c r="B102" s="56">
        <v>123.575</v>
      </c>
      <c r="C102" s="31">
        <v>79</v>
      </c>
      <c r="D102" s="31">
        <f t="shared" si="1"/>
        <v>2.4685318164480372</v>
      </c>
      <c r="E102">
        <v>79</v>
      </c>
      <c r="F102">
        <v>79</v>
      </c>
      <c r="G102">
        <v>2.468531816</v>
      </c>
      <c r="H102">
        <v>2.3791346942999998</v>
      </c>
      <c r="I102" t="s">
        <v>377</v>
      </c>
    </row>
    <row r="103" spans="1:12" ht="15">
      <c r="A103" s="10">
        <v>45505</v>
      </c>
      <c r="B103" s="56">
        <v>123.727</v>
      </c>
      <c r="C103" s="31">
        <v>80</v>
      </c>
      <c r="D103" s="31">
        <f t="shared" si="1"/>
        <v>2.2833050882486674</v>
      </c>
      <c r="E103">
        <v>80</v>
      </c>
      <c r="F103">
        <v>80</v>
      </c>
      <c r="G103">
        <v>2.2833050880000001</v>
      </c>
      <c r="H103">
        <v>2.3137169231999999</v>
      </c>
      <c r="I103" t="s">
        <v>378</v>
      </c>
    </row>
    <row r="104" spans="1:12" ht="15">
      <c r="A104" s="10">
        <v>45536</v>
      </c>
      <c r="B104" s="56">
        <v>123.93899999999999</v>
      </c>
      <c r="C104" s="31">
        <v>81</v>
      </c>
      <c r="D104" s="31">
        <f t="shared" si="1"/>
        <v>2.1023668102844559</v>
      </c>
      <c r="E104">
        <v>81</v>
      </c>
      <c r="F104">
        <v>81</v>
      </c>
      <c r="G104">
        <v>2.1023668099999999</v>
      </c>
      <c r="H104">
        <v>2.248299152</v>
      </c>
      <c r="I104" t="s">
        <v>379</v>
      </c>
    </row>
    <row r="105" spans="1:12" ht="15">
      <c r="A105" s="16">
        <v>45566</v>
      </c>
      <c r="B105" s="56">
        <v>124.265</v>
      </c>
      <c r="C105" s="14">
        <v>82</v>
      </c>
      <c r="D105" s="14">
        <f t="shared" si="1"/>
        <v>2.3422636940891559</v>
      </c>
      <c r="E105">
        <v>82</v>
      </c>
      <c r="F105">
        <v>82</v>
      </c>
      <c r="G105">
        <v>2.3422636940000001</v>
      </c>
      <c r="H105">
        <v>2.3741024982000001</v>
      </c>
      <c r="I105" t="s">
        <v>380</v>
      </c>
    </row>
    <row r="106" spans="1:12" ht="15">
      <c r="A106" s="10">
        <v>45597</v>
      </c>
      <c r="B106" s="56">
        <v>124.399</v>
      </c>
      <c r="C106" s="31">
        <v>83</v>
      </c>
      <c r="D106" s="31">
        <f t="shared" si="1"/>
        <v>2.4576864473088125</v>
      </c>
      <c r="E106">
        <v>83</v>
      </c>
      <c r="F106">
        <v>83</v>
      </c>
      <c r="G106">
        <v>2.4576864469999999</v>
      </c>
      <c r="H106">
        <v>2.4509154302999998</v>
      </c>
      <c r="I106" t="s">
        <v>381</v>
      </c>
    </row>
    <row r="107" spans="1:12" ht="15">
      <c r="A107" s="10">
        <v>45627</v>
      </c>
      <c r="B107" s="56">
        <v>124.76900000000001</v>
      </c>
      <c r="C107" s="31">
        <v>84</v>
      </c>
      <c r="D107" s="31">
        <f t="shared" si="1"/>
        <v>2.6043979539810214</v>
      </c>
      <c r="E107">
        <v>84</v>
      </c>
      <c r="F107">
        <v>84</v>
      </c>
      <c r="G107">
        <v>2.604397954</v>
      </c>
      <c r="H107">
        <v>2.5277283624</v>
      </c>
    </row>
    <row r="108" spans="1:12" ht="15">
      <c r="A108" s="10">
        <v>45658</v>
      </c>
      <c r="B108" s="56">
        <v>125.239</v>
      </c>
      <c r="C108" s="31">
        <v>85</v>
      </c>
      <c r="D108" s="31">
        <f t="shared" si="1"/>
        <v>2.5582442779347416</v>
      </c>
      <c r="E108">
        <v>85</v>
      </c>
      <c r="F108">
        <v>85</v>
      </c>
      <c r="G108">
        <v>2.5582442780000001</v>
      </c>
      <c r="H108">
        <v>2.6045412945000002</v>
      </c>
      <c r="I108" t="s">
        <v>182</v>
      </c>
    </row>
    <row r="109" spans="1:12" ht="15">
      <c r="A109" s="10">
        <v>45689</v>
      </c>
      <c r="B109" s="56">
        <v>125.77200000000001</v>
      </c>
      <c r="C109" s="31">
        <v>86</v>
      </c>
      <c r="D109" s="31">
        <f t="shared" si="1"/>
        <v>2.6760494391562082</v>
      </c>
      <c r="E109">
        <v>86</v>
      </c>
      <c r="F109">
        <v>86</v>
      </c>
      <c r="G109">
        <v>2.6760494389999998</v>
      </c>
      <c r="H109">
        <v>2.6813542265999999</v>
      </c>
      <c r="I109" t="s">
        <v>184</v>
      </c>
      <c r="J109" t="s">
        <v>185</v>
      </c>
      <c r="K109" t="s">
        <v>186</v>
      </c>
      <c r="L109" t="s">
        <v>187</v>
      </c>
    </row>
    <row r="110" spans="1:12" ht="15">
      <c r="A110" s="50">
        <v>45717</v>
      </c>
      <c r="B110" s="56">
        <v>125.791</v>
      </c>
      <c r="C110" s="52">
        <v>87</v>
      </c>
      <c r="D110" s="52">
        <f t="shared" si="1"/>
        <v>2.3423262171309478</v>
      </c>
      <c r="E110">
        <v>87</v>
      </c>
      <c r="F110">
        <v>87</v>
      </c>
      <c r="G110">
        <v>2.3423262170000001</v>
      </c>
      <c r="H110">
        <v>2.2550137870000002</v>
      </c>
      <c r="I110" t="s">
        <v>188</v>
      </c>
      <c r="J110">
        <v>29</v>
      </c>
      <c r="K110">
        <v>35.369375365899998</v>
      </c>
      <c r="L110">
        <v>1.2196336333</v>
      </c>
    </row>
    <row r="111" spans="1:12" ht="15">
      <c r="A111" s="10">
        <v>45748</v>
      </c>
      <c r="B111" s="56">
        <v>125.977</v>
      </c>
      <c r="C111" s="31">
        <v>88</v>
      </c>
      <c r="D111" s="31">
        <f t="shared" si="1"/>
        <v>2.2258467630686414</v>
      </c>
      <c r="E111">
        <v>88</v>
      </c>
      <c r="F111">
        <v>88</v>
      </c>
      <c r="G111">
        <v>2.2258467629999998</v>
      </c>
      <c r="H111">
        <v>2.3396291075</v>
      </c>
      <c r="I111" t="s">
        <v>189</v>
      </c>
      <c r="J111">
        <v>61</v>
      </c>
      <c r="K111">
        <v>2.0225342370999999</v>
      </c>
      <c r="L111">
        <v>3.3156299E-2</v>
      </c>
    </row>
    <row r="112" spans="1:12" ht="15">
      <c r="A112" s="10">
        <v>45778</v>
      </c>
      <c r="B112" s="56">
        <v>126.172</v>
      </c>
      <c r="C112" s="31">
        <v>89</v>
      </c>
      <c r="D112" s="31">
        <f t="shared" si="1"/>
        <v>2.3923910926442846</v>
      </c>
      <c r="E112">
        <v>89</v>
      </c>
      <c r="F112">
        <v>89</v>
      </c>
      <c r="G112">
        <v>2.3923910930000001</v>
      </c>
      <c r="H112">
        <v>2.4242444280000002</v>
      </c>
      <c r="I112" t="s">
        <v>190</v>
      </c>
      <c r="J112">
        <v>90</v>
      </c>
      <c r="K112">
        <v>301.96958524280001</v>
      </c>
    </row>
    <row r="113" spans="1:11" ht="15">
      <c r="A113" s="10">
        <v>45809</v>
      </c>
      <c r="B113" s="56">
        <v>126.533</v>
      </c>
      <c r="C113" s="31">
        <v>90</v>
      </c>
      <c r="D113" s="31">
        <f t="shared" si="1"/>
        <v>2.5646637323800965</v>
      </c>
      <c r="E113">
        <v>90</v>
      </c>
      <c r="F113">
        <v>90</v>
      </c>
      <c r="G113">
        <v>2.5646637320000001</v>
      </c>
      <c r="H113">
        <v>2.5088597484999999</v>
      </c>
      <c r="I113" t="s">
        <v>382</v>
      </c>
    </row>
    <row r="114" spans="1:11" ht="15">
      <c r="A114" s="10">
        <v>45839</v>
      </c>
      <c r="B114" s="56">
        <v>126.783</v>
      </c>
      <c r="C114" s="31">
        <v>91</v>
      </c>
      <c r="D114" s="31">
        <f t="shared" ref="D114" si="2">100*(B114-B102)/B102</f>
        <v>2.5959943354238302</v>
      </c>
      <c r="E114">
        <v>91</v>
      </c>
      <c r="F114">
        <v>91</v>
      </c>
      <c r="G114">
        <v>2.5959943349999999</v>
      </c>
      <c r="H114">
        <v>2.5934750690000001</v>
      </c>
    </row>
    <row r="115" spans="1:11">
      <c r="K115" s="31">
        <f>1-(K111/K112)</f>
        <v>0.99330219222086957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1602-F742-4F66-9A73-2FF2649A8226}">
  <dimension ref="A1:X113"/>
  <sheetViews>
    <sheetView tabSelected="1" topLeftCell="A93" workbookViewId="0">
      <selection activeCell="K110" sqref="K110"/>
    </sheetView>
  </sheetViews>
  <sheetFormatPr defaultRowHeight="13.2"/>
  <cols>
    <col min="1" max="1" width="12" customWidth="1"/>
    <col min="3" max="3" width="5.33203125" customWidth="1"/>
    <col min="5" max="6" width="3.5546875" bestFit="1" customWidth="1"/>
  </cols>
  <sheetData>
    <row r="1" spans="1:24" ht="39.6">
      <c r="A1" s="37" t="s">
        <v>0</v>
      </c>
      <c r="B1" s="37"/>
      <c r="C1" s="37"/>
      <c r="P1" s="62" t="s">
        <v>430</v>
      </c>
      <c r="Q1" s="64" t="s">
        <v>431</v>
      </c>
      <c r="R1" s="64" t="s">
        <v>432</v>
      </c>
      <c r="S1" s="64" t="s">
        <v>433</v>
      </c>
      <c r="T1" s="64" t="s">
        <v>434</v>
      </c>
      <c r="U1" s="64" t="s">
        <v>435</v>
      </c>
      <c r="V1" s="64" t="s">
        <v>436</v>
      </c>
      <c r="W1" s="62" t="s">
        <v>437</v>
      </c>
      <c r="X1" s="62" t="s">
        <v>438</v>
      </c>
    </row>
    <row r="2" spans="1:24" ht="15">
      <c r="A2" s="37" t="s">
        <v>302</v>
      </c>
      <c r="B2" s="37"/>
      <c r="C2" s="37"/>
      <c r="P2" s="65">
        <v>1</v>
      </c>
      <c r="Q2" s="63">
        <v>5</v>
      </c>
      <c r="R2" s="67">
        <v>1.6134360000000001</v>
      </c>
      <c r="S2" s="67">
        <v>0.122613</v>
      </c>
      <c r="T2" s="67">
        <v>0.96128599999999997</v>
      </c>
      <c r="U2" s="67">
        <v>2.0179999999999998E-3</v>
      </c>
      <c r="V2" s="67">
        <v>4.4925E-2</v>
      </c>
      <c r="W2" s="66">
        <v>43101</v>
      </c>
      <c r="X2" s="66">
        <v>43221</v>
      </c>
    </row>
    <row r="3" spans="1:24" ht="15">
      <c r="A3" s="37" t="s">
        <v>2</v>
      </c>
      <c r="B3" s="37"/>
      <c r="C3" s="37"/>
      <c r="P3" s="65">
        <v>2</v>
      </c>
      <c r="Q3" s="63">
        <v>7</v>
      </c>
      <c r="R3" s="67">
        <v>2.7790080000000001</v>
      </c>
      <c r="S3" s="67">
        <v>-7.6128000000000001E-2</v>
      </c>
      <c r="T3" s="67">
        <v>0.89094499999999999</v>
      </c>
      <c r="U3" s="67">
        <v>3.973E-3</v>
      </c>
      <c r="V3" s="67">
        <v>6.3029000000000002E-2</v>
      </c>
      <c r="W3" s="66">
        <v>43252</v>
      </c>
      <c r="X3" s="66">
        <v>43435</v>
      </c>
    </row>
    <row r="4" spans="1:24" ht="15">
      <c r="A4" s="37" t="s">
        <v>3</v>
      </c>
      <c r="B4" s="37"/>
      <c r="C4" s="37"/>
      <c r="P4" s="65">
        <v>3</v>
      </c>
      <c r="Q4" s="63">
        <v>5</v>
      </c>
      <c r="R4" s="67">
        <v>1.12673</v>
      </c>
      <c r="S4" s="67">
        <v>2.3361E-2</v>
      </c>
      <c r="T4" s="67">
        <v>0.30213200000000001</v>
      </c>
      <c r="U4" s="67">
        <v>4.202E-3</v>
      </c>
      <c r="V4" s="67">
        <v>6.4821000000000004E-2</v>
      </c>
      <c r="W4" s="66">
        <v>43466</v>
      </c>
      <c r="X4" s="66">
        <v>43586</v>
      </c>
    </row>
    <row r="5" spans="1:24" ht="15">
      <c r="A5" s="37" t="s">
        <v>303</v>
      </c>
      <c r="B5" s="37"/>
      <c r="C5" s="37"/>
      <c r="P5" s="65">
        <v>4</v>
      </c>
      <c r="Q5" s="63">
        <v>5</v>
      </c>
      <c r="R5" s="67">
        <v>2.2665500000000001</v>
      </c>
      <c r="S5" s="67">
        <v>-4.4498000000000003E-2</v>
      </c>
      <c r="T5" s="67">
        <v>0.71594899999999995</v>
      </c>
      <c r="U5" s="67">
        <v>2.6189999999999998E-3</v>
      </c>
      <c r="V5" s="67">
        <v>5.1173000000000003E-2</v>
      </c>
      <c r="W5" s="66">
        <v>43617</v>
      </c>
      <c r="X5" s="66">
        <v>43739</v>
      </c>
    </row>
    <row r="6" spans="1:24" ht="15">
      <c r="A6" s="37" t="s">
        <v>362</v>
      </c>
      <c r="B6" s="37"/>
      <c r="C6" s="37"/>
      <c r="P6" s="65">
        <v>5</v>
      </c>
      <c r="Q6" s="63">
        <v>8</v>
      </c>
      <c r="R6" s="67">
        <v>5.648002</v>
      </c>
      <c r="S6" s="67">
        <v>-0.170292</v>
      </c>
      <c r="T6" s="67">
        <v>0.62254600000000004</v>
      </c>
      <c r="U6" s="67">
        <v>0.12307800000000001</v>
      </c>
      <c r="V6" s="67">
        <v>0.35082400000000002</v>
      </c>
      <c r="W6" s="66">
        <v>43770</v>
      </c>
      <c r="X6" s="66">
        <v>43983</v>
      </c>
    </row>
    <row r="7" spans="1:24">
      <c r="A7" s="38"/>
      <c r="B7" s="38"/>
      <c r="C7" s="38"/>
      <c r="P7" s="65">
        <v>6</v>
      </c>
      <c r="Q7" s="63">
        <v>8</v>
      </c>
      <c r="R7" s="67">
        <v>-2.3326699999999998</v>
      </c>
      <c r="S7" s="67">
        <v>0.10534200000000001</v>
      </c>
      <c r="T7" s="67">
        <v>0.77618699999999996</v>
      </c>
      <c r="U7" s="67">
        <v>2.2398999999999999E-2</v>
      </c>
      <c r="V7" s="67">
        <v>0.14966199999999999</v>
      </c>
      <c r="W7" s="66">
        <v>44013</v>
      </c>
      <c r="X7" s="66">
        <v>44228</v>
      </c>
    </row>
    <row r="8" spans="1:24" ht="15">
      <c r="A8" s="37" t="s">
        <v>6</v>
      </c>
      <c r="B8" s="37" t="s">
        <v>7</v>
      </c>
      <c r="C8" s="37" t="s">
        <v>363</v>
      </c>
      <c r="P8" s="65">
        <v>7</v>
      </c>
      <c r="Q8" s="63">
        <v>5</v>
      </c>
      <c r="R8" s="67">
        <v>-13.913634</v>
      </c>
      <c r="S8" s="67">
        <v>0.43344199999999999</v>
      </c>
      <c r="T8" s="67">
        <v>0.86998200000000003</v>
      </c>
      <c r="U8" s="67">
        <v>9.3590999999999994E-2</v>
      </c>
      <c r="V8" s="67">
        <v>0.305927</v>
      </c>
      <c r="W8" s="66">
        <v>44256</v>
      </c>
      <c r="X8" s="66">
        <v>44378</v>
      </c>
    </row>
    <row r="9" spans="1:24">
      <c r="P9" s="65">
        <v>8</v>
      </c>
      <c r="Q9" s="63">
        <v>5</v>
      </c>
      <c r="R9" s="67">
        <v>-14.657935</v>
      </c>
      <c r="S9" s="67">
        <v>0.43552999999999997</v>
      </c>
      <c r="T9" s="67">
        <v>0.962592</v>
      </c>
      <c r="U9" s="67">
        <v>2.4572E-2</v>
      </c>
      <c r="V9" s="67">
        <v>0.156754</v>
      </c>
      <c r="W9" s="66">
        <v>44409</v>
      </c>
      <c r="X9" s="66">
        <v>44531</v>
      </c>
    </row>
    <row r="10" spans="1:24">
      <c r="P10" s="65">
        <v>9</v>
      </c>
      <c r="Q10" s="63">
        <v>6</v>
      </c>
      <c r="R10" s="67">
        <v>-0.67915800000000004</v>
      </c>
      <c r="S10" s="67">
        <v>0.14464199999999999</v>
      </c>
      <c r="T10" s="67">
        <v>0.70676799999999995</v>
      </c>
      <c r="U10" s="67">
        <v>3.7975000000000002E-2</v>
      </c>
      <c r="V10" s="67">
        <v>0.19487299999999999</v>
      </c>
      <c r="W10" s="66">
        <v>44562</v>
      </c>
      <c r="X10" s="66">
        <v>44713</v>
      </c>
    </row>
    <row r="11" spans="1:24" ht="15">
      <c r="A11" s="54" t="s">
        <v>9</v>
      </c>
      <c r="B11" s="54" t="s">
        <v>6</v>
      </c>
      <c r="P11" s="65">
        <v>10</v>
      </c>
      <c r="Q11" s="63">
        <v>8</v>
      </c>
      <c r="R11" s="67">
        <v>20.240055000000002</v>
      </c>
      <c r="S11" s="67">
        <v>-0.241762</v>
      </c>
      <c r="T11" s="67">
        <v>0.92796599999999996</v>
      </c>
      <c r="U11" s="67">
        <v>3.1759999999999997E-2</v>
      </c>
      <c r="V11" s="67">
        <v>0.17821300000000001</v>
      </c>
      <c r="W11" s="66">
        <v>44743</v>
      </c>
      <c r="X11" s="66">
        <v>44958</v>
      </c>
    </row>
    <row r="12" spans="1:24" ht="15">
      <c r="A12" s="55">
        <v>42736</v>
      </c>
      <c r="B12" s="53">
        <v>99.450999999999993</v>
      </c>
      <c r="P12" s="65">
        <v>11</v>
      </c>
      <c r="Q12" s="63">
        <v>5</v>
      </c>
      <c r="R12" s="67">
        <v>25.347090000000001</v>
      </c>
      <c r="S12" s="67">
        <v>-0.329953</v>
      </c>
      <c r="T12" s="67">
        <v>0.84996700000000003</v>
      </c>
      <c r="U12" s="67">
        <v>6.4058000000000004E-2</v>
      </c>
      <c r="V12" s="67">
        <v>0.25309599999999999</v>
      </c>
      <c r="W12" s="66">
        <v>44986</v>
      </c>
      <c r="X12" s="66">
        <v>45108</v>
      </c>
    </row>
    <row r="13" spans="1:24" ht="15">
      <c r="A13" s="55">
        <v>42767</v>
      </c>
      <c r="B13" s="53">
        <v>99.585999999999999</v>
      </c>
      <c r="P13" s="65">
        <v>12</v>
      </c>
      <c r="Q13" s="63">
        <v>5</v>
      </c>
      <c r="R13" s="67">
        <v>17.637257999999999</v>
      </c>
      <c r="S13" s="67">
        <v>-0.20852899999999999</v>
      </c>
      <c r="T13" s="67">
        <v>0.881969</v>
      </c>
      <c r="U13" s="67">
        <v>1.9397999999999999E-2</v>
      </c>
      <c r="V13" s="67">
        <v>0.13927600000000001</v>
      </c>
      <c r="W13" s="66">
        <v>45139</v>
      </c>
      <c r="X13" s="66">
        <v>45261</v>
      </c>
    </row>
    <row r="14" spans="1:24" ht="15">
      <c r="A14" s="55">
        <v>42795</v>
      </c>
      <c r="B14" s="53">
        <v>99.534999999999997</v>
      </c>
      <c r="P14" s="65">
        <v>13</v>
      </c>
      <c r="Q14" s="63">
        <v>9</v>
      </c>
      <c r="R14" s="67">
        <v>7.5471389999999996</v>
      </c>
      <c r="S14" s="67">
        <v>-6.5418000000000004E-2</v>
      </c>
      <c r="T14" s="67">
        <v>0.67760699999999996</v>
      </c>
      <c r="U14" s="67">
        <v>1.7451999999999999E-2</v>
      </c>
      <c r="V14" s="67">
        <v>0.132107</v>
      </c>
      <c r="W14" s="66">
        <v>45292</v>
      </c>
      <c r="X14" s="66">
        <v>45536</v>
      </c>
    </row>
    <row r="15" spans="1:24" ht="15">
      <c r="A15" s="55">
        <v>42826</v>
      </c>
      <c r="B15" s="53">
        <v>99.724999999999994</v>
      </c>
      <c r="P15" s="65">
        <v>14</v>
      </c>
      <c r="Q15" s="63">
        <v>9</v>
      </c>
      <c r="R15" s="67">
        <v>2.635081</v>
      </c>
      <c r="S15" s="67">
        <v>-1.9380000000000001E-3</v>
      </c>
      <c r="T15" s="67">
        <v>1.3159999999999999E-3</v>
      </c>
      <c r="U15" s="67">
        <v>2.4424999999999999E-2</v>
      </c>
      <c r="V15" s="67">
        <v>0.15628600000000001</v>
      </c>
      <c r="W15" s="66">
        <v>45566</v>
      </c>
      <c r="X15" s="66">
        <v>45809</v>
      </c>
    </row>
    <row r="16" spans="1:24" ht="15">
      <c r="A16" s="55">
        <v>42856</v>
      </c>
      <c r="B16" s="53">
        <v>99.682000000000002</v>
      </c>
    </row>
    <row r="17" spans="1:9" ht="15">
      <c r="A17" s="55">
        <v>42887</v>
      </c>
      <c r="B17" s="53">
        <v>99.766000000000005</v>
      </c>
    </row>
    <row r="18" spans="1:9" ht="15">
      <c r="A18" s="55">
        <v>42917</v>
      </c>
      <c r="B18" s="53">
        <v>99.802999999999997</v>
      </c>
    </row>
    <row r="19" spans="1:9" ht="15">
      <c r="A19" s="55">
        <v>42948</v>
      </c>
      <c r="B19" s="53">
        <v>100.027</v>
      </c>
    </row>
    <row r="20" spans="1:9" ht="15">
      <c r="A20" s="55">
        <v>42979</v>
      </c>
      <c r="B20" s="53">
        <v>100.4</v>
      </c>
    </row>
    <row r="21" spans="1:9" ht="15">
      <c r="A21" s="55">
        <v>43009</v>
      </c>
      <c r="B21" s="53">
        <v>100.53100000000001</v>
      </c>
    </row>
    <row r="22" spans="1:9" ht="15">
      <c r="A22" s="55">
        <v>43040</v>
      </c>
      <c r="B22" s="53">
        <v>100.675</v>
      </c>
    </row>
    <row r="23" spans="1:9" ht="15">
      <c r="A23" s="55">
        <v>43070</v>
      </c>
      <c r="B23" s="53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5">
      <c r="A24" s="10">
        <v>43101</v>
      </c>
      <c r="B24" s="53">
        <v>101.199</v>
      </c>
      <c r="C24" s="31">
        <v>1</v>
      </c>
      <c r="D24" s="31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 ht="15">
      <c r="A25" s="10">
        <v>43132</v>
      </c>
      <c r="B25" s="53">
        <v>101.416</v>
      </c>
      <c r="C25" s="31">
        <v>2</v>
      </c>
      <c r="D25" s="31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364</v>
      </c>
    </row>
    <row r="26" spans="1:9" ht="15">
      <c r="A26" s="10">
        <v>43160</v>
      </c>
      <c r="B26" s="53">
        <v>101.524</v>
      </c>
      <c r="C26" s="31">
        <v>3</v>
      </c>
      <c r="D26" s="31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 ht="15">
      <c r="A27" s="10">
        <v>43191</v>
      </c>
      <c r="B27" s="53">
        <v>101.76600000000001</v>
      </c>
      <c r="C27" s="31">
        <v>4</v>
      </c>
      <c r="D27" s="31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 ht="15">
      <c r="A28" s="10">
        <v>43221</v>
      </c>
      <c r="B28" s="53">
        <v>101.941</v>
      </c>
      <c r="C28" s="31">
        <v>5</v>
      </c>
      <c r="D28" s="31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 ht="15">
      <c r="A29" s="16">
        <v>43252</v>
      </c>
      <c r="B29" s="53">
        <v>102.029</v>
      </c>
      <c r="C29" s="31">
        <v>6</v>
      </c>
      <c r="D29" s="31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 ht="15">
      <c r="A30" s="10">
        <v>43282</v>
      </c>
      <c r="B30" s="53">
        <v>102.137</v>
      </c>
      <c r="C30" s="31">
        <v>7</v>
      </c>
      <c r="D30" s="31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 ht="15">
      <c r="A31" s="10">
        <v>43313</v>
      </c>
      <c r="B31" s="53">
        <v>102.208</v>
      </c>
      <c r="C31" s="31">
        <v>8</v>
      </c>
      <c r="D31" s="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 ht="15">
      <c r="A32" s="10">
        <v>43344</v>
      </c>
      <c r="B32" s="53">
        <v>102.41800000000001</v>
      </c>
      <c r="C32" s="31">
        <v>9</v>
      </c>
      <c r="D32" s="31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 ht="15">
      <c r="A33" s="10">
        <v>43374</v>
      </c>
      <c r="B33" s="53">
        <v>102.595</v>
      </c>
      <c r="C33" s="31">
        <v>10</v>
      </c>
      <c r="D33" s="31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 ht="15">
      <c r="A34" s="10">
        <v>43405</v>
      </c>
      <c r="B34" s="53">
        <v>102.63</v>
      </c>
      <c r="C34" s="31">
        <v>11</v>
      </c>
      <c r="D34" s="31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 ht="15">
      <c r="A35" s="10">
        <v>43435</v>
      </c>
      <c r="B35" s="53">
        <v>102.70099999999999</v>
      </c>
      <c r="C35" s="31">
        <v>12</v>
      </c>
      <c r="D35" s="31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 ht="15">
      <c r="A36" s="16">
        <v>43466</v>
      </c>
      <c r="B36" s="53">
        <v>102.648</v>
      </c>
      <c r="C36" s="31">
        <v>13</v>
      </c>
      <c r="D36" s="31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 ht="15">
      <c r="A37" s="10">
        <v>43497</v>
      </c>
      <c r="B37" s="53">
        <v>102.836</v>
      </c>
      <c r="C37" s="31">
        <v>14</v>
      </c>
      <c r="D37" s="31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 ht="15">
      <c r="A38" s="10">
        <v>43525</v>
      </c>
      <c r="B38" s="53">
        <v>103.069</v>
      </c>
      <c r="C38" s="31">
        <v>15</v>
      </c>
      <c r="D38" s="31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 ht="15">
      <c r="A39" s="10">
        <v>43556</v>
      </c>
      <c r="B39" s="53">
        <v>103.36</v>
      </c>
      <c r="C39" s="31">
        <v>16</v>
      </c>
      <c r="D39" s="31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 ht="15">
      <c r="A40" s="10">
        <v>43586</v>
      </c>
      <c r="B40" s="53">
        <v>103.435</v>
      </c>
      <c r="C40" s="31">
        <v>17</v>
      </c>
      <c r="D40" s="31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 ht="15">
      <c r="A41" s="16">
        <v>43617</v>
      </c>
      <c r="B41" s="53">
        <v>103.48399999999999</v>
      </c>
      <c r="C41" s="31">
        <v>18</v>
      </c>
      <c r="D41" s="31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 ht="15">
      <c r="A42" s="10">
        <v>43647</v>
      </c>
      <c r="B42" s="53">
        <v>103.622</v>
      </c>
      <c r="C42" s="31">
        <v>19</v>
      </c>
      <c r="D42" s="31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 ht="15">
      <c r="A43" s="10">
        <v>43678</v>
      </c>
      <c r="B43" s="53">
        <v>103.67</v>
      </c>
      <c r="C43" s="31">
        <v>20</v>
      </c>
      <c r="D43" s="31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 ht="15">
      <c r="A44" s="10">
        <v>43709</v>
      </c>
      <c r="B44" s="53">
        <v>103.733</v>
      </c>
      <c r="C44" s="31">
        <v>21</v>
      </c>
      <c r="D44" s="31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 ht="15">
      <c r="A45" s="10">
        <v>43739</v>
      </c>
      <c r="B45" s="53">
        <v>103.917</v>
      </c>
      <c r="C45" s="31">
        <v>22</v>
      </c>
      <c r="D45" s="31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 ht="15">
      <c r="A46" s="16">
        <v>43770</v>
      </c>
      <c r="B46" s="53">
        <v>104.024</v>
      </c>
      <c r="C46" s="31">
        <v>23</v>
      </c>
      <c r="D46" s="31">
        <f t="shared" si="0"/>
        <v>1.3582773068303668</v>
      </c>
      <c r="E46">
        <v>23</v>
      </c>
      <c r="F46">
        <v>23</v>
      </c>
      <c r="G46">
        <v>1.358277307</v>
      </c>
      <c r="H46">
        <v>1.7312877777</v>
      </c>
      <c r="I46" t="s">
        <v>223</v>
      </c>
    </row>
    <row r="47" spans="1:9" ht="15">
      <c r="A47" s="10">
        <v>43800</v>
      </c>
      <c r="B47" s="53">
        <v>104.307</v>
      </c>
      <c r="C47" s="31">
        <v>24</v>
      </c>
      <c r="D47" s="31">
        <f t="shared" si="0"/>
        <v>1.5637627676458932</v>
      </c>
      <c r="E47">
        <v>24</v>
      </c>
      <c r="F47">
        <v>24</v>
      </c>
      <c r="G47">
        <v>1.5637627679999999</v>
      </c>
      <c r="H47">
        <v>1.5609958544</v>
      </c>
      <c r="I47" t="s">
        <v>224</v>
      </c>
    </row>
    <row r="48" spans="1:9" ht="15">
      <c r="A48" s="10">
        <v>43831</v>
      </c>
      <c r="B48" s="53">
        <v>104.419</v>
      </c>
      <c r="C48" s="31">
        <v>25</v>
      </c>
      <c r="D48" s="31">
        <f t="shared" si="0"/>
        <v>1.7253136933988007</v>
      </c>
      <c r="E48">
        <v>25</v>
      </c>
      <c r="F48">
        <v>25</v>
      </c>
      <c r="G48">
        <v>1.7253136929999999</v>
      </c>
      <c r="H48">
        <v>1.3907039311</v>
      </c>
      <c r="I48" t="s">
        <v>225</v>
      </c>
    </row>
    <row r="49" spans="1:9" ht="15">
      <c r="A49" s="10">
        <v>43862</v>
      </c>
      <c r="B49" s="53">
        <v>104.541</v>
      </c>
      <c r="C49" s="31">
        <v>26</v>
      </c>
      <c r="D49" s="31">
        <f t="shared" si="0"/>
        <v>1.6579796958263626</v>
      </c>
      <c r="E49">
        <v>26</v>
      </c>
      <c r="F49">
        <v>26</v>
      </c>
      <c r="G49">
        <v>1.6579796959999999</v>
      </c>
      <c r="H49">
        <v>1.2204120079</v>
      </c>
      <c r="I49" t="s">
        <v>226</v>
      </c>
    </row>
    <row r="50" spans="1:9" ht="15">
      <c r="A50" s="10">
        <v>43891</v>
      </c>
      <c r="B50" s="53">
        <v>104.252</v>
      </c>
      <c r="C50" s="31">
        <v>27</v>
      </c>
      <c r="D50" s="31">
        <f t="shared" si="0"/>
        <v>1.1477747916444252</v>
      </c>
      <c r="E50">
        <v>27</v>
      </c>
      <c r="F50">
        <v>27</v>
      </c>
      <c r="G50">
        <v>1.1477747920000001</v>
      </c>
      <c r="H50">
        <v>1.0501200846000001</v>
      </c>
      <c r="I50" t="s">
        <v>227</v>
      </c>
    </row>
    <row r="51" spans="1:9" ht="15">
      <c r="A51" s="10">
        <v>43922</v>
      </c>
      <c r="B51" s="53">
        <v>103.81699999999999</v>
      </c>
      <c r="C51" s="31">
        <v>28</v>
      </c>
      <c r="D51" s="31">
        <f t="shared" si="0"/>
        <v>0.44214396284829105</v>
      </c>
      <c r="E51">
        <v>28</v>
      </c>
      <c r="F51">
        <v>28</v>
      </c>
      <c r="G51">
        <v>0.44214396299999997</v>
      </c>
      <c r="H51">
        <v>0.87982816139999998</v>
      </c>
      <c r="I51" t="s">
        <v>228</v>
      </c>
    </row>
    <row r="52" spans="1:9" ht="15">
      <c r="A52" s="10">
        <v>43952</v>
      </c>
      <c r="B52" s="53">
        <v>103.914</v>
      </c>
      <c r="C52" s="31">
        <v>29</v>
      </c>
      <c r="D52" s="31">
        <f t="shared" si="0"/>
        <v>0.46309276357132423</v>
      </c>
      <c r="E52">
        <v>29</v>
      </c>
      <c r="F52">
        <v>29</v>
      </c>
      <c r="G52">
        <v>0.46309276399999999</v>
      </c>
      <c r="H52">
        <v>0.70953623809999999</v>
      </c>
      <c r="I52" t="s">
        <v>229</v>
      </c>
    </row>
    <row r="53" spans="1:9" ht="15">
      <c r="A53" s="10">
        <v>43983</v>
      </c>
      <c r="B53" s="53">
        <v>104.233</v>
      </c>
      <c r="C53" s="31">
        <v>30</v>
      </c>
      <c r="D53" s="31">
        <f t="shared" si="0"/>
        <v>0.7237833868037663</v>
      </c>
      <c r="E53">
        <v>30</v>
      </c>
      <c r="F53">
        <v>30</v>
      </c>
      <c r="G53">
        <v>0.723783387</v>
      </c>
      <c r="H53">
        <v>0.53924431480000001</v>
      </c>
      <c r="I53" t="s">
        <v>230</v>
      </c>
    </row>
    <row r="54" spans="1:9" ht="15">
      <c r="A54" s="16">
        <v>44013</v>
      </c>
      <c r="B54" s="53">
        <v>104.56399999999999</v>
      </c>
      <c r="C54" s="31">
        <v>31</v>
      </c>
      <c r="D54" s="31">
        <f t="shared" si="0"/>
        <v>0.90907336279939888</v>
      </c>
      <c r="E54">
        <v>31</v>
      </c>
      <c r="F54">
        <v>31</v>
      </c>
      <c r="G54">
        <v>0.90907336299999997</v>
      </c>
      <c r="H54">
        <v>0.93293996089999998</v>
      </c>
      <c r="I54" t="s">
        <v>231</v>
      </c>
    </row>
    <row r="55" spans="1:9" ht="15">
      <c r="A55" s="10">
        <v>44044</v>
      </c>
      <c r="B55" s="53">
        <v>104.887</v>
      </c>
      <c r="C55" s="31">
        <v>32</v>
      </c>
      <c r="D55" s="31">
        <f t="shared" si="0"/>
        <v>1.1739172373878641</v>
      </c>
      <c r="E55">
        <v>32</v>
      </c>
      <c r="F55">
        <v>32</v>
      </c>
      <c r="G55">
        <v>1.1739172369999999</v>
      </c>
      <c r="H55">
        <v>1.0382822183</v>
      </c>
      <c r="I55" t="s">
        <v>232</v>
      </c>
    </row>
    <row r="56" spans="1:9" ht="15">
      <c r="A56" s="10">
        <v>44075</v>
      </c>
      <c r="B56" s="53">
        <v>105.04600000000001</v>
      </c>
      <c r="C56" s="31">
        <v>33</v>
      </c>
      <c r="D56" s="31">
        <f t="shared" si="0"/>
        <v>1.2657495686040146</v>
      </c>
      <c r="E56">
        <v>33</v>
      </c>
      <c r="F56">
        <v>33</v>
      </c>
      <c r="G56">
        <v>1.265749569</v>
      </c>
      <c r="H56">
        <v>1.1436244756</v>
      </c>
      <c r="I56" t="s">
        <v>233</v>
      </c>
    </row>
    <row r="57" spans="1:9" ht="15">
      <c r="A57" s="10">
        <v>44105</v>
      </c>
      <c r="B57" s="53">
        <v>105.10599999999999</v>
      </c>
      <c r="C57" s="31">
        <v>34</v>
      </c>
      <c r="D57" s="31">
        <f t="shared" si="0"/>
        <v>1.144182376319556</v>
      </c>
      <c r="E57">
        <v>34</v>
      </c>
      <c r="F57">
        <v>34</v>
      </c>
      <c r="G57">
        <v>1.1441823760000001</v>
      </c>
      <c r="H57">
        <v>1.2489667330000001</v>
      </c>
      <c r="I57" t="s">
        <v>234</v>
      </c>
    </row>
    <row r="58" spans="1:9" ht="15">
      <c r="A58" s="10">
        <v>44136</v>
      </c>
      <c r="B58" s="53">
        <v>105.22499999999999</v>
      </c>
      <c r="C58" s="31">
        <v>35</v>
      </c>
      <c r="D58" s="31">
        <f t="shared" si="0"/>
        <v>1.1545412597092914</v>
      </c>
      <c r="E58">
        <v>35</v>
      </c>
      <c r="F58">
        <v>35</v>
      </c>
      <c r="G58">
        <v>1.15454126</v>
      </c>
      <c r="H58">
        <v>1.3543089903000001</v>
      </c>
      <c r="I58" t="s">
        <v>109</v>
      </c>
    </row>
    <row r="59" spans="1:9" ht="15">
      <c r="A59" s="10">
        <v>44166</v>
      </c>
      <c r="B59" s="53">
        <v>105.69</v>
      </c>
      <c r="C59" s="31">
        <v>36</v>
      </c>
      <c r="D59" s="31">
        <f t="shared" si="0"/>
        <v>1.3258937559320041</v>
      </c>
      <c r="E59">
        <v>36</v>
      </c>
      <c r="F59">
        <v>36</v>
      </c>
      <c r="G59">
        <v>1.3258937559999999</v>
      </c>
      <c r="H59">
        <v>1.4596512476000001</v>
      </c>
      <c r="I59" t="s">
        <v>235</v>
      </c>
    </row>
    <row r="60" spans="1:9" ht="15">
      <c r="A60" s="10">
        <v>44197</v>
      </c>
      <c r="B60" s="53">
        <v>106.083</v>
      </c>
      <c r="C60" s="31">
        <v>37</v>
      </c>
      <c r="D60" s="31">
        <f t="shared" si="0"/>
        <v>1.5935797125044306</v>
      </c>
      <c r="E60">
        <v>37</v>
      </c>
      <c r="F60">
        <v>37</v>
      </c>
      <c r="G60">
        <v>1.593579713</v>
      </c>
      <c r="H60">
        <v>1.5649935049999999</v>
      </c>
      <c r="I60" t="s">
        <v>236</v>
      </c>
    </row>
    <row r="61" spans="1:9" ht="15">
      <c r="A61" s="10">
        <v>44228</v>
      </c>
      <c r="B61" s="53">
        <v>106.471</v>
      </c>
      <c r="C61" s="31">
        <v>38</v>
      </c>
      <c r="D61" s="31">
        <f t="shared" si="0"/>
        <v>1.846165619230739</v>
      </c>
      <c r="E61">
        <v>38</v>
      </c>
      <c r="F61">
        <v>38</v>
      </c>
      <c r="G61">
        <v>1.846165619</v>
      </c>
      <c r="H61">
        <v>1.6703357622999999</v>
      </c>
      <c r="I61" t="s">
        <v>237</v>
      </c>
    </row>
    <row r="62" spans="1:9" ht="15">
      <c r="A62" s="16">
        <v>44256</v>
      </c>
      <c r="B62" s="53">
        <v>107.032</v>
      </c>
      <c r="C62" s="31">
        <v>39</v>
      </c>
      <c r="D62" s="31">
        <f t="shared" si="0"/>
        <v>2.6666155085753762</v>
      </c>
      <c r="E62">
        <v>39</v>
      </c>
      <c r="F62">
        <v>39</v>
      </c>
      <c r="G62">
        <v>2.6666155090000001</v>
      </c>
      <c r="H62">
        <v>2.9906219456000001</v>
      </c>
      <c r="I62" t="s">
        <v>238</v>
      </c>
    </row>
    <row r="63" spans="1:9" ht="15">
      <c r="A63" s="10">
        <v>44287</v>
      </c>
      <c r="B63" s="53">
        <v>107.63200000000001</v>
      </c>
      <c r="C63" s="31">
        <v>40</v>
      </c>
      <c r="D63" s="31">
        <f t="shared" si="0"/>
        <v>3.6747353516283576</v>
      </c>
      <c r="E63">
        <v>40</v>
      </c>
      <c r="F63">
        <v>40</v>
      </c>
      <c r="G63">
        <v>3.6747353519999999</v>
      </c>
      <c r="H63">
        <v>3.4240644095000001</v>
      </c>
      <c r="I63" t="s">
        <v>110</v>
      </c>
    </row>
    <row r="64" spans="1:9" ht="15">
      <c r="A64" s="10">
        <v>44317</v>
      </c>
      <c r="B64" s="53">
        <v>108.184</v>
      </c>
      <c r="C64" s="31">
        <v>41</v>
      </c>
      <c r="D64" s="31">
        <f t="shared" si="0"/>
        <v>4.1091671959504934</v>
      </c>
      <c r="E64">
        <v>41</v>
      </c>
      <c r="F64">
        <v>41</v>
      </c>
      <c r="G64">
        <v>4.1091671959999996</v>
      </c>
      <c r="H64">
        <v>3.8575068734000002</v>
      </c>
      <c r="I64" t="s">
        <v>239</v>
      </c>
    </row>
    <row r="65" spans="1:9" ht="15">
      <c r="A65" s="10">
        <v>44348</v>
      </c>
      <c r="B65" s="53">
        <v>108.748</v>
      </c>
      <c r="C65" s="31">
        <v>42</v>
      </c>
      <c r="D65" s="31">
        <f t="shared" si="0"/>
        <v>4.3316416106223556</v>
      </c>
      <c r="E65">
        <v>42</v>
      </c>
      <c r="F65">
        <v>42</v>
      </c>
      <c r="G65">
        <v>4.3316416110000002</v>
      </c>
      <c r="H65">
        <v>4.2909493372999998</v>
      </c>
      <c r="I65" t="s">
        <v>240</v>
      </c>
    </row>
    <row r="66" spans="1:9" ht="15">
      <c r="A66" s="10">
        <v>44378</v>
      </c>
      <c r="B66" s="53">
        <v>109.27500000000001</v>
      </c>
      <c r="C66" s="31">
        <v>43</v>
      </c>
      <c r="D66" s="31">
        <f t="shared" si="0"/>
        <v>4.5053746987491037</v>
      </c>
      <c r="E66">
        <v>43</v>
      </c>
      <c r="F66">
        <v>43</v>
      </c>
      <c r="G66">
        <v>4.5053746989999999</v>
      </c>
      <c r="H66">
        <v>4.7243918012000004</v>
      </c>
      <c r="I66" t="s">
        <v>241</v>
      </c>
    </row>
    <row r="67" spans="1:9" ht="15">
      <c r="A67" s="16">
        <v>44409</v>
      </c>
      <c r="B67" s="53">
        <v>109.72</v>
      </c>
      <c r="C67" s="31">
        <v>44</v>
      </c>
      <c r="D67" s="31">
        <f t="shared" si="0"/>
        <v>4.6078160305852949</v>
      </c>
      <c r="E67">
        <v>44</v>
      </c>
      <c r="F67">
        <v>44</v>
      </c>
      <c r="G67">
        <v>4.6078160309999996</v>
      </c>
      <c r="H67">
        <v>4.5053705653999998</v>
      </c>
      <c r="I67" t="s">
        <v>242</v>
      </c>
    </row>
    <row r="68" spans="1:9" ht="15">
      <c r="A68" s="10">
        <v>44440</v>
      </c>
      <c r="B68" s="53">
        <v>110.047</v>
      </c>
      <c r="C68" s="31">
        <v>45</v>
      </c>
      <c r="D68" s="31">
        <f t="shared" si="0"/>
        <v>4.7607714715457901</v>
      </c>
      <c r="E68">
        <v>45</v>
      </c>
      <c r="F68">
        <v>45</v>
      </c>
      <c r="G68">
        <v>4.7607714720000001</v>
      </c>
      <c r="H68">
        <v>4.9409002427999997</v>
      </c>
      <c r="I68" t="s">
        <v>243</v>
      </c>
    </row>
    <row r="69" spans="1:9" ht="15">
      <c r="A69" s="10">
        <v>44470</v>
      </c>
      <c r="B69" s="53">
        <v>110.741</v>
      </c>
      <c r="C69" s="31">
        <v>46</v>
      </c>
      <c r="D69" s="31">
        <f t="shared" si="0"/>
        <v>5.3612543527486585</v>
      </c>
      <c r="E69">
        <v>46</v>
      </c>
      <c r="F69">
        <v>46</v>
      </c>
      <c r="G69">
        <v>5.3612543529999996</v>
      </c>
      <c r="H69">
        <v>5.3764299201999997</v>
      </c>
      <c r="I69" t="s">
        <v>244</v>
      </c>
    </row>
    <row r="70" spans="1:9" ht="15">
      <c r="A70" s="10">
        <v>44501</v>
      </c>
      <c r="B70" s="53">
        <v>111.51</v>
      </c>
      <c r="C70" s="31">
        <v>47</v>
      </c>
      <c r="D70" s="31">
        <f t="shared" si="0"/>
        <v>5.9729151817533968</v>
      </c>
      <c r="E70">
        <v>47</v>
      </c>
      <c r="F70">
        <v>47</v>
      </c>
      <c r="G70">
        <v>5.9729151820000004</v>
      </c>
      <c r="H70">
        <v>5.8119595975999996</v>
      </c>
      <c r="I70" t="s">
        <v>245</v>
      </c>
    </row>
    <row r="71" spans="1:9" ht="15">
      <c r="A71" s="10">
        <v>44531</v>
      </c>
      <c r="B71" s="53">
        <v>112.221</v>
      </c>
      <c r="C71" s="31">
        <v>48</v>
      </c>
      <c r="D71" s="31">
        <f t="shared" si="0"/>
        <v>6.1793925631564068</v>
      </c>
      <c r="E71">
        <v>48</v>
      </c>
      <c r="F71">
        <v>48</v>
      </c>
      <c r="G71">
        <v>6.1793925630000004</v>
      </c>
      <c r="H71">
        <v>6.2474892750000004</v>
      </c>
      <c r="I71" t="s">
        <v>246</v>
      </c>
    </row>
    <row r="72" spans="1:9" ht="15">
      <c r="A72" s="16">
        <v>44562</v>
      </c>
      <c r="B72" s="53">
        <v>112.776</v>
      </c>
      <c r="C72" s="31">
        <v>49</v>
      </c>
      <c r="D72" s="31">
        <f t="shared" si="0"/>
        <v>6.3092107123667294</v>
      </c>
      <c r="E72">
        <v>49</v>
      </c>
      <c r="F72">
        <v>49</v>
      </c>
      <c r="G72">
        <v>6.3092107119999996</v>
      </c>
      <c r="H72">
        <v>6.4083166605999997</v>
      </c>
      <c r="I72" t="s">
        <v>247</v>
      </c>
    </row>
    <row r="73" spans="1:9" ht="15">
      <c r="A73" s="10">
        <v>44593</v>
      </c>
      <c r="B73" s="53">
        <v>113.489</v>
      </c>
      <c r="C73" s="31">
        <v>50</v>
      </c>
      <c r="D73" s="31">
        <f t="shared" si="0"/>
        <v>6.5914662208488703</v>
      </c>
      <c r="E73">
        <v>50</v>
      </c>
      <c r="F73">
        <v>50</v>
      </c>
      <c r="G73">
        <v>6.5914662210000001</v>
      </c>
      <c r="H73">
        <v>6.5529590067000001</v>
      </c>
      <c r="I73" t="s">
        <v>248</v>
      </c>
    </row>
    <row r="74" spans="1:9" ht="15">
      <c r="A74" s="10">
        <v>44621</v>
      </c>
      <c r="B74" s="53">
        <v>114.489</v>
      </c>
      <c r="C74" s="31">
        <v>51</v>
      </c>
      <c r="D74" s="31">
        <f t="shared" si="0"/>
        <v>6.9670752672098137</v>
      </c>
      <c r="E74">
        <v>51</v>
      </c>
      <c r="F74">
        <v>51</v>
      </c>
      <c r="G74">
        <v>6.9670752670000002</v>
      </c>
      <c r="H74">
        <v>6.6976013527999996</v>
      </c>
      <c r="I74" t="s">
        <v>249</v>
      </c>
    </row>
    <row r="75" spans="1:9" ht="15">
      <c r="A75" s="10">
        <v>44652</v>
      </c>
      <c r="B75" s="53">
        <v>114.845</v>
      </c>
      <c r="C75" s="31">
        <v>52</v>
      </c>
      <c r="D75" s="31">
        <f t="shared" si="0"/>
        <v>6.7015385758882058</v>
      </c>
      <c r="E75">
        <v>52</v>
      </c>
      <c r="F75">
        <v>52</v>
      </c>
      <c r="G75">
        <v>6.7015385759999999</v>
      </c>
      <c r="H75">
        <v>6.8422436988999999</v>
      </c>
      <c r="I75" t="s">
        <v>250</v>
      </c>
    </row>
    <row r="76" spans="1:9" ht="15">
      <c r="A76" s="10">
        <v>44682</v>
      </c>
      <c r="B76" s="53">
        <v>115.542</v>
      </c>
      <c r="C76" s="31">
        <v>53</v>
      </c>
      <c r="D76" s="31">
        <f t="shared" si="0"/>
        <v>6.8013754344450232</v>
      </c>
      <c r="E76">
        <v>53</v>
      </c>
      <c r="F76">
        <v>53</v>
      </c>
      <c r="G76">
        <v>6.8013754339999997</v>
      </c>
      <c r="H76">
        <v>6.9868860450000003</v>
      </c>
      <c r="I76" t="s">
        <v>251</v>
      </c>
    </row>
    <row r="77" spans="1:9" ht="15">
      <c r="A77" s="10">
        <v>44713</v>
      </c>
      <c r="B77" s="53">
        <v>116.631</v>
      </c>
      <c r="C77" s="31">
        <v>54</v>
      </c>
      <c r="D77" s="31">
        <f t="shared" si="0"/>
        <v>7.2488689447162198</v>
      </c>
      <c r="E77">
        <v>54</v>
      </c>
      <c r="F77">
        <v>54</v>
      </c>
      <c r="G77">
        <v>7.2488689449999999</v>
      </c>
      <c r="H77">
        <v>7.1315283909999998</v>
      </c>
      <c r="I77" t="s">
        <v>252</v>
      </c>
    </row>
    <row r="78" spans="1:9" ht="15">
      <c r="A78" s="16">
        <v>44743</v>
      </c>
      <c r="B78" s="53">
        <v>116.66200000000001</v>
      </c>
      <c r="C78" s="31">
        <v>55</v>
      </c>
      <c r="D78" s="31">
        <f t="shared" si="0"/>
        <v>6.7600091512239766</v>
      </c>
      <c r="E78">
        <v>55</v>
      </c>
      <c r="F78">
        <v>55</v>
      </c>
      <c r="G78">
        <v>6.7600091510000002</v>
      </c>
      <c r="H78">
        <v>6.9431297947999999</v>
      </c>
      <c r="I78" t="s">
        <v>253</v>
      </c>
    </row>
    <row r="79" spans="1:9" ht="15">
      <c r="A79" s="10">
        <v>44774</v>
      </c>
      <c r="B79" s="53">
        <v>117.002</v>
      </c>
      <c r="C79" s="31">
        <v>56</v>
      </c>
      <c r="D79" s="31">
        <f t="shared" si="0"/>
        <v>6.6368939117754246</v>
      </c>
      <c r="E79">
        <v>56</v>
      </c>
      <c r="F79">
        <v>56</v>
      </c>
      <c r="G79">
        <v>6.6368939119999997</v>
      </c>
      <c r="H79">
        <v>6.7013675118</v>
      </c>
      <c r="I79" t="s">
        <v>254</v>
      </c>
    </row>
    <row r="80" spans="1:9" ht="15">
      <c r="A80" s="10">
        <v>44805</v>
      </c>
      <c r="B80" s="53">
        <v>117.377</v>
      </c>
      <c r="C80" s="31">
        <v>57</v>
      </c>
      <c r="D80" s="31">
        <f t="shared" si="0"/>
        <v>6.6607903895608223</v>
      </c>
      <c r="E80">
        <v>57</v>
      </c>
      <c r="F80">
        <v>57</v>
      </c>
      <c r="G80">
        <v>6.6607903899999998</v>
      </c>
      <c r="H80">
        <v>6.4596052288000001</v>
      </c>
      <c r="I80" t="s">
        <v>255</v>
      </c>
    </row>
    <row r="81" spans="1:9" ht="15">
      <c r="A81" s="10">
        <v>44835</v>
      </c>
      <c r="B81" s="53">
        <v>117.89100000000001</v>
      </c>
      <c r="C81" s="31">
        <v>58</v>
      </c>
      <c r="D81" s="31">
        <f t="shared" si="0"/>
        <v>6.4565066235630937</v>
      </c>
      <c r="E81">
        <v>58</v>
      </c>
      <c r="F81">
        <v>58</v>
      </c>
      <c r="G81">
        <v>6.4565066240000002</v>
      </c>
      <c r="H81">
        <v>6.2178429458000002</v>
      </c>
      <c r="I81" t="s">
        <v>256</v>
      </c>
    </row>
    <row r="82" spans="1:9" ht="15">
      <c r="A82" s="10">
        <v>44866</v>
      </c>
      <c r="B82" s="53">
        <v>118.221</v>
      </c>
      <c r="C82" s="31">
        <v>59</v>
      </c>
      <c r="D82" s="31">
        <f t="shared" si="0"/>
        <v>6.0182943233790684</v>
      </c>
      <c r="E82">
        <v>59</v>
      </c>
      <c r="F82">
        <v>59</v>
      </c>
      <c r="G82">
        <v>6.0182943230000001</v>
      </c>
      <c r="H82">
        <v>5.9760806627000003</v>
      </c>
      <c r="I82" t="s">
        <v>257</v>
      </c>
    </row>
    <row r="83" spans="1:9" ht="15">
      <c r="A83" s="10">
        <v>44896</v>
      </c>
      <c r="B83" s="53">
        <v>118.40300000000001</v>
      </c>
      <c r="C83" s="31">
        <v>60</v>
      </c>
      <c r="D83" s="31">
        <f t="shared" si="0"/>
        <v>5.508772867823315</v>
      </c>
      <c r="E83">
        <v>60</v>
      </c>
      <c r="F83">
        <v>60</v>
      </c>
      <c r="G83">
        <v>5.5087728680000003</v>
      </c>
      <c r="H83">
        <v>5.7343183797000004</v>
      </c>
      <c r="I83" t="s">
        <v>258</v>
      </c>
    </row>
    <row r="84" spans="1:9" ht="15">
      <c r="A84" s="10">
        <v>44927</v>
      </c>
      <c r="B84" s="53">
        <v>119.00700000000001</v>
      </c>
      <c r="C84" s="31">
        <v>61</v>
      </c>
      <c r="D84" s="31">
        <f t="shared" si="0"/>
        <v>5.5251117258991354</v>
      </c>
      <c r="E84">
        <v>61</v>
      </c>
      <c r="F84">
        <v>61</v>
      </c>
      <c r="G84">
        <v>5.5251117259999996</v>
      </c>
      <c r="H84">
        <v>5.4925560966999996</v>
      </c>
      <c r="I84" t="s">
        <v>259</v>
      </c>
    </row>
    <row r="85" spans="1:9" ht="15">
      <c r="A85" s="10">
        <v>44958</v>
      </c>
      <c r="B85" s="53">
        <v>119.401</v>
      </c>
      <c r="C85" s="31">
        <v>62</v>
      </c>
      <c r="D85" s="31">
        <f t="shared" si="0"/>
        <v>5.2093154402629249</v>
      </c>
      <c r="E85">
        <v>62</v>
      </c>
      <c r="F85">
        <v>62</v>
      </c>
      <c r="G85">
        <v>5.2093154400000001</v>
      </c>
      <c r="H85">
        <v>5.2507938136999996</v>
      </c>
      <c r="I85" t="s">
        <v>260</v>
      </c>
    </row>
    <row r="86" spans="1:9" ht="15">
      <c r="A86" s="16">
        <v>44986</v>
      </c>
      <c r="B86" s="53">
        <v>119.553</v>
      </c>
      <c r="C86" s="31">
        <v>63</v>
      </c>
      <c r="D86" s="31">
        <f t="shared" si="0"/>
        <v>4.4231323533265146</v>
      </c>
      <c r="E86">
        <v>63</v>
      </c>
      <c r="F86">
        <v>63</v>
      </c>
      <c r="G86">
        <v>4.4231323529999997</v>
      </c>
      <c r="H86">
        <v>4.5600252061999997</v>
      </c>
      <c r="I86" t="s">
        <v>261</v>
      </c>
    </row>
    <row r="87" spans="1:9" ht="15">
      <c r="A87" s="10">
        <v>45017</v>
      </c>
      <c r="B87" s="53">
        <v>119.97</v>
      </c>
      <c r="C87" s="31">
        <v>64</v>
      </c>
      <c r="D87" s="31">
        <f t="shared" si="0"/>
        <v>4.4625364621881669</v>
      </c>
      <c r="E87">
        <v>64</v>
      </c>
      <c r="F87">
        <v>64</v>
      </c>
      <c r="G87">
        <v>4.4625364620000001</v>
      </c>
      <c r="H87">
        <v>4.2300717911000003</v>
      </c>
      <c r="I87" t="s">
        <v>262</v>
      </c>
    </row>
    <row r="88" spans="1:9" ht="15">
      <c r="A88" s="10">
        <v>45047</v>
      </c>
      <c r="B88" s="53">
        <v>120.14</v>
      </c>
      <c r="C88" s="31">
        <v>65</v>
      </c>
      <c r="D88" s="31">
        <f t="shared" si="0"/>
        <v>3.9795052881203361</v>
      </c>
      <c r="E88">
        <v>65</v>
      </c>
      <c r="F88">
        <v>65</v>
      </c>
      <c r="G88">
        <v>3.9795052879999999</v>
      </c>
      <c r="H88">
        <v>3.900118376</v>
      </c>
      <c r="I88" t="s">
        <v>263</v>
      </c>
    </row>
    <row r="89" spans="1:9" ht="15">
      <c r="A89" s="10">
        <v>45078</v>
      </c>
      <c r="B89" s="53">
        <v>120.435</v>
      </c>
      <c r="C89" s="31">
        <v>66</v>
      </c>
      <c r="D89" s="31">
        <f t="shared" si="0"/>
        <v>3.2615685366669256</v>
      </c>
      <c r="E89">
        <v>66</v>
      </c>
      <c r="F89">
        <v>66</v>
      </c>
      <c r="G89">
        <v>3.261568537</v>
      </c>
      <c r="H89">
        <v>3.5701649609000001</v>
      </c>
      <c r="I89" t="s">
        <v>264</v>
      </c>
    </row>
    <row r="90" spans="1:9" ht="15">
      <c r="A90" s="10">
        <v>45108</v>
      </c>
      <c r="B90" s="53">
        <v>120.598</v>
      </c>
      <c r="C90" s="31">
        <v>67</v>
      </c>
      <c r="D90" s="31">
        <f t="shared" ref="D90:D112" si="1">100*(B90-B78)/B78</f>
        <v>3.3738492396838669</v>
      </c>
      <c r="E90">
        <v>67</v>
      </c>
      <c r="F90">
        <v>67</v>
      </c>
      <c r="G90">
        <v>3.3738492400000002</v>
      </c>
      <c r="H90">
        <v>3.2402115457999998</v>
      </c>
      <c r="I90" t="s">
        <v>265</v>
      </c>
    </row>
    <row r="91" spans="1:9" ht="15">
      <c r="A91" s="16">
        <v>45139</v>
      </c>
      <c r="B91" s="53">
        <v>120.965</v>
      </c>
      <c r="C91" s="31">
        <v>68</v>
      </c>
      <c r="D91" s="31">
        <f t="shared" si="1"/>
        <v>3.3871215876651752</v>
      </c>
      <c r="E91">
        <v>68</v>
      </c>
      <c r="F91">
        <v>68</v>
      </c>
      <c r="G91">
        <v>3.3871215879999998</v>
      </c>
      <c r="H91">
        <v>3.4573101756</v>
      </c>
      <c r="I91" t="s">
        <v>266</v>
      </c>
    </row>
    <row r="92" spans="1:9" ht="15">
      <c r="A92" s="10">
        <v>45170</v>
      </c>
      <c r="B92" s="53">
        <v>121.387</v>
      </c>
      <c r="C92" s="31">
        <v>69</v>
      </c>
      <c r="D92" s="31">
        <f t="shared" si="1"/>
        <v>3.4163422135512111</v>
      </c>
      <c r="E92">
        <v>69</v>
      </c>
      <c r="F92">
        <v>69</v>
      </c>
      <c r="G92">
        <v>3.4163422140000002</v>
      </c>
      <c r="H92">
        <v>3.2487815328999998</v>
      </c>
      <c r="I92" t="s">
        <v>273</v>
      </c>
    </row>
    <row r="93" spans="1:9" ht="15">
      <c r="A93" s="10">
        <v>45200</v>
      </c>
      <c r="B93" s="53">
        <v>121.42100000000001</v>
      </c>
      <c r="C93" s="31">
        <v>70</v>
      </c>
      <c r="D93" s="31">
        <f t="shared" si="1"/>
        <v>2.9942913369129118</v>
      </c>
      <c r="E93">
        <v>70</v>
      </c>
      <c r="F93">
        <v>70</v>
      </c>
      <c r="G93">
        <v>2.9942913369999999</v>
      </c>
      <c r="H93">
        <v>3.0402528902000001</v>
      </c>
      <c r="I93" t="s">
        <v>274</v>
      </c>
    </row>
    <row r="94" spans="1:9" ht="15">
      <c r="A94" s="10">
        <v>45231</v>
      </c>
      <c r="B94" s="53">
        <v>121.41500000000001</v>
      </c>
      <c r="C94" s="31">
        <v>71</v>
      </c>
      <c r="D94" s="31">
        <f t="shared" si="1"/>
        <v>2.7017196606355913</v>
      </c>
      <c r="E94">
        <v>71</v>
      </c>
      <c r="F94">
        <v>71</v>
      </c>
      <c r="G94">
        <v>2.7017196609999998</v>
      </c>
      <c r="H94">
        <v>2.8317242475</v>
      </c>
      <c r="I94" t="s">
        <v>330</v>
      </c>
    </row>
    <row r="95" spans="1:9" ht="15">
      <c r="A95" s="10">
        <v>45261</v>
      </c>
      <c r="B95" s="53">
        <v>121.602</v>
      </c>
      <c r="C95" s="31">
        <v>72</v>
      </c>
      <c r="D95" s="31">
        <f t="shared" si="1"/>
        <v>2.7017896506000674</v>
      </c>
      <c r="E95">
        <v>72</v>
      </c>
      <c r="F95">
        <v>72</v>
      </c>
      <c r="G95">
        <v>2.7017896509999999</v>
      </c>
      <c r="H95">
        <v>2.6231956047999998</v>
      </c>
      <c r="I95" t="s">
        <v>331</v>
      </c>
    </row>
    <row r="96" spans="1:9" ht="15">
      <c r="A96" s="16">
        <v>45292</v>
      </c>
      <c r="B96" s="53">
        <v>122.11499999999999</v>
      </c>
      <c r="C96" s="14">
        <v>73</v>
      </c>
      <c r="D96" s="14">
        <f t="shared" si="1"/>
        <v>2.6116110817010676</v>
      </c>
      <c r="E96">
        <v>73</v>
      </c>
      <c r="F96">
        <v>73</v>
      </c>
      <c r="G96">
        <v>2.611611082</v>
      </c>
      <c r="H96">
        <v>2.7716413211000002</v>
      </c>
      <c r="I96" t="s">
        <v>332</v>
      </c>
    </row>
    <row r="97" spans="1:12" ht="15">
      <c r="A97" s="10">
        <v>45323</v>
      </c>
      <c r="B97" s="53">
        <v>122.494</v>
      </c>
      <c r="C97" s="31">
        <v>74</v>
      </c>
      <c r="D97" s="31">
        <f t="shared" si="1"/>
        <v>2.5904305659081612</v>
      </c>
      <c r="E97">
        <v>74</v>
      </c>
      <c r="F97">
        <v>74</v>
      </c>
      <c r="G97">
        <v>2.5904305660000002</v>
      </c>
      <c r="H97">
        <v>2.7062235499999998</v>
      </c>
      <c r="I97" t="s">
        <v>365</v>
      </c>
    </row>
    <row r="98" spans="1:12" ht="15">
      <c r="A98" s="10">
        <v>45352</v>
      </c>
      <c r="B98" s="53">
        <v>122.91200000000001</v>
      </c>
      <c r="C98" s="31">
        <v>75</v>
      </c>
      <c r="D98" s="31">
        <f t="shared" si="1"/>
        <v>2.8096325479076301</v>
      </c>
      <c r="E98">
        <v>75</v>
      </c>
      <c r="F98">
        <v>75</v>
      </c>
      <c r="G98">
        <v>2.8096325480000002</v>
      </c>
      <c r="H98">
        <v>2.6408057787999999</v>
      </c>
      <c r="I98" t="s">
        <v>366</v>
      </c>
    </row>
    <row r="99" spans="1:12" ht="15">
      <c r="A99" s="10">
        <v>45383</v>
      </c>
      <c r="B99" s="53">
        <v>123.23399999999999</v>
      </c>
      <c r="C99" s="31">
        <v>76</v>
      </c>
      <c r="D99" s="31">
        <f t="shared" si="1"/>
        <v>2.720680170042507</v>
      </c>
      <c r="E99">
        <v>76</v>
      </c>
      <c r="F99">
        <v>76</v>
      </c>
      <c r="G99">
        <v>2.7206801700000001</v>
      </c>
      <c r="H99">
        <v>2.5753880077</v>
      </c>
      <c r="I99" t="s">
        <v>367</v>
      </c>
    </row>
    <row r="100" spans="1:12" ht="15">
      <c r="A100" s="10">
        <v>45413</v>
      </c>
      <c r="B100" s="53">
        <v>123.224</v>
      </c>
      <c r="C100" s="31">
        <v>77</v>
      </c>
      <c r="D100" s="31">
        <f t="shared" si="1"/>
        <v>2.5670051606459157</v>
      </c>
      <c r="E100">
        <v>77</v>
      </c>
      <c r="F100">
        <v>77</v>
      </c>
      <c r="G100">
        <v>2.567005161</v>
      </c>
      <c r="H100">
        <v>2.5099702366000001</v>
      </c>
      <c r="I100" t="s">
        <v>368</v>
      </c>
    </row>
    <row r="101" spans="1:12" ht="15">
      <c r="A101" s="10">
        <v>45444</v>
      </c>
      <c r="B101" s="53">
        <v>123.369</v>
      </c>
      <c r="C101" s="31">
        <v>78</v>
      </c>
      <c r="D101" s="31">
        <f t="shared" si="1"/>
        <v>2.4361688877817889</v>
      </c>
      <c r="E101">
        <v>78</v>
      </c>
      <c r="F101">
        <v>78</v>
      </c>
      <c r="G101">
        <v>2.4361688880000001</v>
      </c>
      <c r="H101">
        <v>2.4445524654000002</v>
      </c>
      <c r="I101" t="s">
        <v>369</v>
      </c>
    </row>
    <row r="102" spans="1:12" ht="15">
      <c r="A102" s="10">
        <v>45474</v>
      </c>
      <c r="B102" s="53">
        <v>123.575</v>
      </c>
      <c r="C102" s="31">
        <v>79</v>
      </c>
      <c r="D102" s="31">
        <f t="shared" si="1"/>
        <v>2.4685318164480372</v>
      </c>
      <c r="E102">
        <v>79</v>
      </c>
      <c r="F102">
        <v>79</v>
      </c>
      <c r="G102">
        <v>2.468531816</v>
      </c>
      <c r="H102">
        <v>2.3791346942999998</v>
      </c>
    </row>
    <row r="103" spans="1:12" ht="15">
      <c r="A103" s="10">
        <v>45505</v>
      </c>
      <c r="B103" s="53">
        <v>123.727</v>
      </c>
      <c r="C103" s="31">
        <v>80</v>
      </c>
      <c r="D103" s="31">
        <f t="shared" si="1"/>
        <v>2.2833050882486674</v>
      </c>
      <c r="E103">
        <v>80</v>
      </c>
      <c r="F103">
        <v>80</v>
      </c>
      <c r="G103">
        <v>2.2833050880000001</v>
      </c>
      <c r="H103">
        <v>2.3137169231999999</v>
      </c>
      <c r="I103" t="s">
        <v>182</v>
      </c>
    </row>
    <row r="104" spans="1:12" ht="15">
      <c r="A104" s="10">
        <v>45536</v>
      </c>
      <c r="B104" s="53">
        <v>123.93899999999999</v>
      </c>
      <c r="C104" s="31">
        <v>81</v>
      </c>
      <c r="D104" s="31">
        <f t="shared" si="1"/>
        <v>2.1023668102844559</v>
      </c>
      <c r="E104">
        <v>81</v>
      </c>
      <c r="F104">
        <v>81</v>
      </c>
      <c r="G104">
        <v>2.1023668099999999</v>
      </c>
      <c r="H104">
        <v>2.248299152</v>
      </c>
      <c r="I104" t="s">
        <v>184</v>
      </c>
      <c r="J104" t="s">
        <v>185</v>
      </c>
      <c r="K104" t="s">
        <v>186</v>
      </c>
      <c r="L104" t="s">
        <v>187</v>
      </c>
    </row>
    <row r="105" spans="1:12" ht="15">
      <c r="A105" s="16">
        <v>45566</v>
      </c>
      <c r="B105" s="53">
        <v>124.265</v>
      </c>
      <c r="C105" s="14">
        <v>82</v>
      </c>
      <c r="D105" s="14">
        <f t="shared" si="1"/>
        <v>2.3422636940891559</v>
      </c>
      <c r="E105">
        <v>82</v>
      </c>
      <c r="F105">
        <v>82</v>
      </c>
      <c r="G105">
        <v>2.3422636940000001</v>
      </c>
      <c r="H105">
        <v>2.476172263</v>
      </c>
      <c r="I105" t="s">
        <v>188</v>
      </c>
      <c r="J105">
        <v>27</v>
      </c>
      <c r="K105">
        <v>37.655019840100003</v>
      </c>
      <c r="L105">
        <v>1.3946303644</v>
      </c>
    </row>
    <row r="106" spans="1:12" ht="15">
      <c r="A106" s="10">
        <v>45597</v>
      </c>
      <c r="B106" s="53">
        <v>124.399</v>
      </c>
      <c r="C106" s="31">
        <v>83</v>
      </c>
      <c r="D106" s="31">
        <f t="shared" si="1"/>
        <v>2.4576864473088125</v>
      </c>
      <c r="E106">
        <v>83</v>
      </c>
      <c r="F106">
        <v>83</v>
      </c>
      <c r="G106">
        <v>2.4576864469999999</v>
      </c>
      <c r="H106">
        <v>2.4742343559000002</v>
      </c>
      <c r="I106" t="s">
        <v>189</v>
      </c>
      <c r="J106">
        <v>62</v>
      </c>
      <c r="K106">
        <v>2.1596976094000002</v>
      </c>
      <c r="L106">
        <v>3.48338324E-2</v>
      </c>
    </row>
    <row r="107" spans="1:12" ht="15">
      <c r="A107" s="10">
        <v>45627</v>
      </c>
      <c r="B107" s="53">
        <v>124.76900000000001</v>
      </c>
      <c r="C107" s="31">
        <v>84</v>
      </c>
      <c r="D107" s="31">
        <f t="shared" si="1"/>
        <v>2.6043979539810214</v>
      </c>
      <c r="E107">
        <v>84</v>
      </c>
      <c r="F107">
        <v>84</v>
      </c>
      <c r="G107">
        <v>2.604397954</v>
      </c>
      <c r="H107">
        <v>2.4722964487999999</v>
      </c>
      <c r="I107" t="s">
        <v>190</v>
      </c>
      <c r="J107">
        <v>89</v>
      </c>
      <c r="K107">
        <v>301.71369812180001</v>
      </c>
    </row>
    <row r="108" spans="1:12" ht="15">
      <c r="A108" s="10">
        <v>45658</v>
      </c>
      <c r="B108" s="53">
        <v>125.239</v>
      </c>
      <c r="C108" s="31">
        <v>85</v>
      </c>
      <c r="D108" s="31">
        <f t="shared" si="1"/>
        <v>2.5582442779347416</v>
      </c>
      <c r="E108">
        <v>85</v>
      </c>
      <c r="F108">
        <v>85</v>
      </c>
      <c r="G108">
        <v>2.5582442780000001</v>
      </c>
      <c r="H108">
        <v>2.4703585417</v>
      </c>
      <c r="I108" t="s">
        <v>370</v>
      </c>
    </row>
    <row r="109" spans="1:12" ht="15">
      <c r="A109" s="10">
        <v>45689</v>
      </c>
      <c r="B109" s="53">
        <v>125.77200000000001</v>
      </c>
      <c r="C109" s="31">
        <v>86</v>
      </c>
      <c r="D109" s="31">
        <f t="shared" si="1"/>
        <v>2.6760494391562082</v>
      </c>
      <c r="E109">
        <v>86</v>
      </c>
      <c r="F109">
        <v>86</v>
      </c>
      <c r="G109">
        <v>2.6760494389999998</v>
      </c>
      <c r="H109">
        <v>2.4684206346000002</v>
      </c>
      <c r="I109" s="31"/>
    </row>
    <row r="110" spans="1:12" ht="15">
      <c r="A110" s="50">
        <v>45717</v>
      </c>
      <c r="B110" s="53">
        <v>125.791</v>
      </c>
      <c r="C110" s="52">
        <v>87</v>
      </c>
      <c r="D110" s="52">
        <f t="shared" si="1"/>
        <v>2.3423262171309478</v>
      </c>
      <c r="E110">
        <v>87</v>
      </c>
      <c r="F110">
        <v>87</v>
      </c>
      <c r="G110">
        <v>2.3423262170000001</v>
      </c>
      <c r="H110">
        <v>2.4664827273999999</v>
      </c>
      <c r="I110" s="31"/>
      <c r="K110" s="31">
        <f>1-(K106/K107)</f>
        <v>0.99284189739198336</v>
      </c>
    </row>
    <row r="111" spans="1:12" ht="15">
      <c r="A111" s="10">
        <v>45748</v>
      </c>
      <c r="B111" s="53">
        <v>125.99</v>
      </c>
      <c r="C111" s="31">
        <v>88</v>
      </c>
      <c r="D111" s="31">
        <f t="shared" si="1"/>
        <v>2.2363957998604285</v>
      </c>
      <c r="E111">
        <v>88</v>
      </c>
      <c r="F111">
        <v>88</v>
      </c>
      <c r="G111">
        <v>2.2363957999999999</v>
      </c>
      <c r="H111">
        <v>2.4645448203</v>
      </c>
      <c r="I111" s="31"/>
    </row>
    <row r="112" spans="1:12" ht="15">
      <c r="A112" s="10">
        <v>45778</v>
      </c>
      <c r="B112" s="53">
        <v>126.20099999999999</v>
      </c>
      <c r="C112" s="31">
        <v>89</v>
      </c>
      <c r="D112" s="31">
        <f t="shared" si="1"/>
        <v>2.4159254690644594</v>
      </c>
      <c r="E112">
        <v>89</v>
      </c>
      <c r="F112">
        <v>89</v>
      </c>
      <c r="G112">
        <v>2.4159254689999998</v>
      </c>
      <c r="H112">
        <v>2.4626069132000001</v>
      </c>
      <c r="I112" s="31"/>
    </row>
    <row r="113" spans="1:9" ht="15">
      <c r="A113" s="10">
        <v>45809</v>
      </c>
      <c r="B113" s="53">
        <v>126.55500000000001</v>
      </c>
      <c r="C113" s="31">
        <v>90</v>
      </c>
      <c r="D113" s="31">
        <f t="shared" ref="D113" si="2">100*(B113-B101)/B101</f>
        <v>2.5824964131994319</v>
      </c>
      <c r="E113">
        <v>90</v>
      </c>
      <c r="F113">
        <v>90</v>
      </c>
      <c r="G113">
        <v>2.5824964129999999</v>
      </c>
      <c r="H113">
        <v>2.4606690060999998</v>
      </c>
      <c r="I113" s="31"/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841A-F2BA-4E4B-87BA-56584A593E0C}">
  <dimension ref="A1:AD113"/>
  <sheetViews>
    <sheetView topLeftCell="A86" workbookViewId="0">
      <selection activeCell="L107" sqref="L107"/>
    </sheetView>
  </sheetViews>
  <sheetFormatPr defaultRowHeight="13.2"/>
  <cols>
    <col min="1" max="1" width="11.21875" customWidth="1"/>
  </cols>
  <sheetData>
    <row r="1" spans="1:30" s="38" customFormat="1">
      <c r="A1" s="38" t="s">
        <v>0</v>
      </c>
    </row>
    <row r="2" spans="1:30" s="38" customFormat="1">
      <c r="A2" s="38" t="s">
        <v>302</v>
      </c>
    </row>
    <row r="3" spans="1:30" s="38" customFormat="1">
      <c r="A3" s="38" t="s">
        <v>2</v>
      </c>
    </row>
    <row r="4" spans="1:30" s="38" customFormat="1">
      <c r="A4" s="38" t="s">
        <v>3</v>
      </c>
    </row>
    <row r="5" spans="1:30" s="38" customFormat="1">
      <c r="A5" s="38" t="s">
        <v>303</v>
      </c>
    </row>
    <row r="6" spans="1:30" s="38" customFormat="1">
      <c r="A6" s="38" t="s">
        <v>360</v>
      </c>
    </row>
    <row r="7" spans="1:30" s="38" customFormat="1"/>
    <row r="8" spans="1:30" s="38" customFormat="1">
      <c r="A8" s="38" t="s">
        <v>6</v>
      </c>
      <c r="B8" s="38" t="s">
        <v>7</v>
      </c>
      <c r="C8" s="38" t="s">
        <v>361</v>
      </c>
    </row>
    <row r="11" spans="1:30" ht="15">
      <c r="A11" s="46" t="s">
        <v>9</v>
      </c>
      <c r="B11" s="46" t="s">
        <v>6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>
      <c r="A12" s="32">
        <v>42736</v>
      </c>
      <c r="B12" s="33">
        <v>99.450999999999993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>
      <c r="A13" s="32">
        <v>42767</v>
      </c>
      <c r="B13" s="33">
        <v>99.585999999999999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>
      <c r="A14" s="32">
        <v>42795</v>
      </c>
      <c r="B14" s="33">
        <v>99.534999999999997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>
      <c r="A15" s="32">
        <v>42826</v>
      </c>
      <c r="B15" s="33">
        <v>99.724999999999994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>
      <c r="A16" s="32">
        <v>42856</v>
      </c>
      <c r="B16" s="33">
        <v>99.682000000000002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>
      <c r="A17" s="32">
        <v>42887</v>
      </c>
      <c r="B17" s="33">
        <v>99.766000000000005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>
      <c r="A18" s="32">
        <v>42917</v>
      </c>
      <c r="B18" s="33">
        <v>99.802999999999997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>
      <c r="A19" s="32">
        <v>42948</v>
      </c>
      <c r="B19" s="33">
        <v>100.027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>
      <c r="A20" s="32">
        <v>42979</v>
      </c>
      <c r="B20" s="33">
        <v>100.4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>
      <c r="A21" s="32">
        <v>43009</v>
      </c>
      <c r="B21" s="33">
        <v>100.53100000000001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>
      <c r="A22" s="32">
        <v>43040</v>
      </c>
      <c r="B22" s="33">
        <v>100.675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13.8">
      <c r="A23" s="32">
        <v>43070</v>
      </c>
      <c r="B23" s="33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10">
        <v>43101</v>
      </c>
      <c r="B24" s="33">
        <v>101.199</v>
      </c>
      <c r="C24" s="31">
        <v>1</v>
      </c>
      <c r="D24" s="31">
        <f>100*(B24-B12)/B12</f>
        <v>1.7576494957315711</v>
      </c>
      <c r="E24" s="31">
        <v>1</v>
      </c>
      <c r="F24" s="31">
        <v>1</v>
      </c>
      <c r="G24" s="31">
        <v>1.757649496</v>
      </c>
      <c r="H24" s="31">
        <v>1.7360498802</v>
      </c>
      <c r="I24" s="31" t="s">
        <v>352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10">
        <v>43132</v>
      </c>
      <c r="B25" s="33">
        <v>101.416</v>
      </c>
      <c r="C25" s="31">
        <v>2</v>
      </c>
      <c r="D25" s="31">
        <f>100*(B25-B13)/B13</f>
        <v>1.8376076958608623</v>
      </c>
      <c r="E25" s="31">
        <v>2</v>
      </c>
      <c r="F25" s="31">
        <v>2</v>
      </c>
      <c r="G25" s="31">
        <v>1.8376076960000001</v>
      </c>
      <c r="H25" s="31">
        <v>1.8586633416</v>
      </c>
      <c r="I25" s="31" t="s">
        <v>353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10">
        <v>43160</v>
      </c>
      <c r="B26" s="33">
        <v>101.524</v>
      </c>
      <c r="C26" s="31">
        <v>3</v>
      </c>
      <c r="D26" s="31">
        <f t="shared" ref="D26:D89" si="0">100*(B26-B14)/B14</f>
        <v>1.9982920580700301</v>
      </c>
      <c r="E26" s="31">
        <v>3</v>
      </c>
      <c r="F26" s="31">
        <v>3</v>
      </c>
      <c r="G26" s="31">
        <v>1.9982920580000001</v>
      </c>
      <c r="H26" s="31">
        <v>1.9812768030000001</v>
      </c>
      <c r="I26" s="31" t="s">
        <v>12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10">
        <v>43191</v>
      </c>
      <c r="B27" s="33">
        <v>101.76600000000001</v>
      </c>
      <c r="C27" s="31">
        <v>4</v>
      </c>
      <c r="D27" s="31">
        <f t="shared" si="0"/>
        <v>2.0466282276259826</v>
      </c>
      <c r="E27" s="31">
        <v>4</v>
      </c>
      <c r="F27" s="31">
        <v>4</v>
      </c>
      <c r="G27" s="31">
        <v>2.0466282279999999</v>
      </c>
      <c r="H27" s="31">
        <v>2.1038902643999999</v>
      </c>
      <c r="I27" s="31" t="s">
        <v>13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10">
        <v>43221</v>
      </c>
      <c r="B28" s="33">
        <v>101.941</v>
      </c>
      <c r="C28" s="31">
        <v>5</v>
      </c>
      <c r="D28" s="31">
        <f t="shared" si="0"/>
        <v>2.2662065367869828</v>
      </c>
      <c r="E28" s="31">
        <v>5</v>
      </c>
      <c r="F28" s="31">
        <v>5</v>
      </c>
      <c r="G28" s="31">
        <v>2.266206537</v>
      </c>
      <c r="H28" s="31">
        <v>2.2265037258000002</v>
      </c>
      <c r="I28" s="31" t="s">
        <v>14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16">
        <v>43252</v>
      </c>
      <c r="B29" s="33">
        <v>102.029</v>
      </c>
      <c r="C29" s="31">
        <v>6</v>
      </c>
      <c r="D29" s="31">
        <f t="shared" si="0"/>
        <v>2.2683078403464014</v>
      </c>
      <c r="E29" s="31">
        <v>6</v>
      </c>
      <c r="F29" s="31">
        <v>6</v>
      </c>
      <c r="G29" s="31">
        <v>2.2683078399999999</v>
      </c>
      <c r="H29" s="31">
        <v>2.3222375461999998</v>
      </c>
      <c r="I29" s="31" t="s">
        <v>15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10">
        <v>43282</v>
      </c>
      <c r="B30" s="33">
        <v>102.137</v>
      </c>
      <c r="C30" s="31">
        <v>7</v>
      </c>
      <c r="D30" s="31">
        <f t="shared" si="0"/>
        <v>2.3386070559001264</v>
      </c>
      <c r="E30" s="31">
        <v>7</v>
      </c>
      <c r="F30" s="31">
        <v>7</v>
      </c>
      <c r="G30" s="31">
        <v>2.3386070559999999</v>
      </c>
      <c r="H30" s="31">
        <v>2.2461091979000001</v>
      </c>
      <c r="I30" s="31" t="s">
        <v>16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10">
        <v>43313</v>
      </c>
      <c r="B31" s="33">
        <v>102.208</v>
      </c>
      <c r="C31" s="31">
        <v>8</v>
      </c>
      <c r="D31" s="31">
        <f t="shared" si="0"/>
        <v>2.1804112889519804</v>
      </c>
      <c r="E31" s="31">
        <v>8</v>
      </c>
      <c r="F31" s="31">
        <v>8</v>
      </c>
      <c r="G31" s="31">
        <v>2.1804112889999998</v>
      </c>
      <c r="H31" s="31">
        <v>2.1699808494999999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10">
        <v>43344</v>
      </c>
      <c r="B32" s="33">
        <v>102.41800000000001</v>
      </c>
      <c r="C32" s="31">
        <v>9</v>
      </c>
      <c r="D32" s="31">
        <f t="shared" si="0"/>
        <v>2.0099601593625502</v>
      </c>
      <c r="E32" s="31">
        <v>9</v>
      </c>
      <c r="F32" s="31">
        <v>9</v>
      </c>
      <c r="G32" s="31">
        <v>2.0099601589999998</v>
      </c>
      <c r="H32" s="31">
        <v>2.0938525011000002</v>
      </c>
      <c r="I32" s="31" t="s">
        <v>17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10">
        <v>43374</v>
      </c>
      <c r="B33" s="33">
        <v>102.595</v>
      </c>
      <c r="C33" s="31">
        <v>10</v>
      </c>
      <c r="D33" s="31">
        <f t="shared" si="0"/>
        <v>2.0530980493579025</v>
      </c>
      <c r="E33" s="31">
        <v>10</v>
      </c>
      <c r="F33" s="31">
        <v>10</v>
      </c>
      <c r="G33" s="31">
        <v>2.0530980489999999</v>
      </c>
      <c r="H33" s="31">
        <v>2.0177241528000001</v>
      </c>
      <c r="I33" s="31" t="s">
        <v>18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10">
        <v>43405</v>
      </c>
      <c r="B34" s="33">
        <v>102.63</v>
      </c>
      <c r="C34" s="31">
        <v>11</v>
      </c>
      <c r="D34" s="31">
        <f t="shared" si="0"/>
        <v>1.9418922274646122</v>
      </c>
      <c r="E34" s="31">
        <v>11</v>
      </c>
      <c r="F34" s="31">
        <v>11</v>
      </c>
      <c r="G34" s="31">
        <v>1.9418922270000001</v>
      </c>
      <c r="H34" s="31">
        <v>1.9415958043999999</v>
      </c>
      <c r="I34" s="31" t="s">
        <v>19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10">
        <v>43435</v>
      </c>
      <c r="B35" s="33">
        <v>102.70099999999999</v>
      </c>
      <c r="C35" s="31">
        <v>12</v>
      </c>
      <c r="D35" s="31">
        <f t="shared" si="0"/>
        <v>1.8646908878110666</v>
      </c>
      <c r="E35" s="31">
        <v>12</v>
      </c>
      <c r="F35" s="31">
        <v>12</v>
      </c>
      <c r="G35" s="31">
        <v>1.8646908879999999</v>
      </c>
      <c r="H35" s="31">
        <v>1.8654674561</v>
      </c>
      <c r="I35" s="31" t="s">
        <v>20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16">
        <v>43466</v>
      </c>
      <c r="B36" s="33">
        <v>102.648</v>
      </c>
      <c r="C36" s="31">
        <v>13</v>
      </c>
      <c r="D36" s="31">
        <f t="shared" si="0"/>
        <v>1.4318323303589937</v>
      </c>
      <c r="E36" s="31">
        <v>13</v>
      </c>
      <c r="F36" s="31">
        <v>13</v>
      </c>
      <c r="G36" s="31">
        <v>1.43183233</v>
      </c>
      <c r="H36" s="31">
        <v>1.4304196244</v>
      </c>
      <c r="I36" s="31" t="s">
        <v>21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10">
        <v>43497</v>
      </c>
      <c r="B37" s="33">
        <v>102.836</v>
      </c>
      <c r="C37" s="31">
        <v>14</v>
      </c>
      <c r="D37" s="31">
        <f t="shared" si="0"/>
        <v>1.400173542636272</v>
      </c>
      <c r="E37" s="31">
        <v>14</v>
      </c>
      <c r="F37" s="31">
        <v>14</v>
      </c>
      <c r="G37" s="31">
        <v>1.400173543</v>
      </c>
      <c r="H37" s="31">
        <v>1.4537803713999999</v>
      </c>
      <c r="I37" s="31" t="s">
        <v>22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10">
        <v>43525</v>
      </c>
      <c r="B38" s="33">
        <v>103.069</v>
      </c>
      <c r="C38" s="31">
        <v>15</v>
      </c>
      <c r="D38" s="31">
        <f t="shared" si="0"/>
        <v>1.5218076513927759</v>
      </c>
      <c r="E38" s="31">
        <v>15</v>
      </c>
      <c r="F38" s="31">
        <v>15</v>
      </c>
      <c r="G38" s="31">
        <v>1.521807651</v>
      </c>
      <c r="H38" s="31">
        <v>1.4771411184000001</v>
      </c>
      <c r="I38" s="31" t="s">
        <v>23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10">
        <v>43556</v>
      </c>
      <c r="B39" s="33">
        <v>103.36</v>
      </c>
      <c r="C39" s="31">
        <v>16</v>
      </c>
      <c r="D39" s="31">
        <f t="shared" si="0"/>
        <v>1.5663384627478667</v>
      </c>
      <c r="E39" s="31">
        <v>16</v>
      </c>
      <c r="F39" s="31">
        <v>16</v>
      </c>
      <c r="G39" s="31">
        <v>1.5663384629999999</v>
      </c>
      <c r="H39" s="31">
        <v>1.5005018654</v>
      </c>
      <c r="I39" s="31" t="s">
        <v>24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10">
        <v>43586</v>
      </c>
      <c r="B40" s="33">
        <v>103.435</v>
      </c>
      <c r="C40" s="31">
        <v>17</v>
      </c>
      <c r="D40" s="31">
        <f t="shared" si="0"/>
        <v>1.4655536045359567</v>
      </c>
      <c r="E40" s="31">
        <v>17</v>
      </c>
      <c r="F40" s="31">
        <v>17</v>
      </c>
      <c r="G40" s="31">
        <v>1.465553605</v>
      </c>
      <c r="H40" s="31">
        <v>1.5238626124000001</v>
      </c>
      <c r="I40" s="31" t="s">
        <v>25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16">
        <v>43617</v>
      </c>
      <c r="B41" s="33">
        <v>103.48399999999999</v>
      </c>
      <c r="C41" s="31">
        <v>18</v>
      </c>
      <c r="D41" s="31">
        <f t="shared" si="0"/>
        <v>1.4260651383430185</v>
      </c>
      <c r="E41" s="31">
        <v>18</v>
      </c>
      <c r="F41" s="31">
        <v>18</v>
      </c>
      <c r="G41" s="31">
        <v>1.426065138</v>
      </c>
      <c r="H41" s="31">
        <v>1.4655818102</v>
      </c>
      <c r="I41" s="31" t="s">
        <v>26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10">
        <v>43647</v>
      </c>
      <c r="B42" s="33">
        <v>103.622</v>
      </c>
      <c r="C42" s="31">
        <v>19</v>
      </c>
      <c r="D42" s="31">
        <f t="shared" si="0"/>
        <v>1.4539295260287648</v>
      </c>
      <c r="E42" s="31">
        <v>19</v>
      </c>
      <c r="F42" s="31">
        <v>19</v>
      </c>
      <c r="G42" s="31">
        <v>1.453929526</v>
      </c>
      <c r="H42" s="31">
        <v>1.4210835933999999</v>
      </c>
      <c r="I42" s="31" t="s">
        <v>219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10">
        <v>43678</v>
      </c>
      <c r="B43" s="33">
        <v>103.67</v>
      </c>
      <c r="C43" s="31">
        <v>20</v>
      </c>
      <c r="D43" s="31">
        <f t="shared" si="0"/>
        <v>1.4304164057608046</v>
      </c>
      <c r="E43" s="31">
        <v>20</v>
      </c>
      <c r="F43" s="31">
        <v>20</v>
      </c>
      <c r="G43" s="31">
        <v>1.430416406</v>
      </c>
      <c r="H43" s="31">
        <v>1.3765853766</v>
      </c>
      <c r="I43" s="31" t="s">
        <v>220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10">
        <v>43709</v>
      </c>
      <c r="B44" s="33">
        <v>103.733</v>
      </c>
      <c r="C44" s="31">
        <v>21</v>
      </c>
      <c r="D44" s="31">
        <f t="shared" si="0"/>
        <v>1.2839539924622603</v>
      </c>
      <c r="E44" s="31">
        <v>21</v>
      </c>
      <c r="F44" s="31">
        <v>21</v>
      </c>
      <c r="G44" s="31">
        <v>1.283953992</v>
      </c>
      <c r="H44" s="31">
        <v>1.3320871597999999</v>
      </c>
      <c r="I44" s="31" t="s">
        <v>221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10">
        <v>43739</v>
      </c>
      <c r="B45" s="33">
        <v>103.917</v>
      </c>
      <c r="C45" s="31">
        <v>22</v>
      </c>
      <c r="D45" s="31">
        <f t="shared" si="0"/>
        <v>1.2885618207515013</v>
      </c>
      <c r="E45" s="31">
        <v>22</v>
      </c>
      <c r="F45" s="31">
        <v>22</v>
      </c>
      <c r="G45" s="31">
        <v>1.2885618210000001</v>
      </c>
      <c r="H45" s="31">
        <v>1.287588943</v>
      </c>
      <c r="I45" s="31" t="s">
        <v>222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16">
        <v>43770</v>
      </c>
      <c r="B46" s="33">
        <v>104.024</v>
      </c>
      <c r="C46" s="31">
        <v>23</v>
      </c>
      <c r="D46" s="31">
        <f t="shared" si="0"/>
        <v>1.3582773068303668</v>
      </c>
      <c r="E46" s="31">
        <v>23</v>
      </c>
      <c r="F46" s="31">
        <v>23</v>
      </c>
      <c r="G46" s="31">
        <v>1.358277307</v>
      </c>
      <c r="H46" s="31">
        <v>1.7312877777</v>
      </c>
      <c r="I46" s="31" t="s">
        <v>223</v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10">
        <v>43800</v>
      </c>
      <c r="B47" s="33">
        <v>104.307</v>
      </c>
      <c r="C47" s="31">
        <v>24</v>
      </c>
      <c r="D47" s="31">
        <f t="shared" si="0"/>
        <v>1.5637627676458932</v>
      </c>
      <c r="E47" s="31">
        <v>24</v>
      </c>
      <c r="F47" s="31">
        <v>24</v>
      </c>
      <c r="G47" s="31">
        <v>1.5637627679999999</v>
      </c>
      <c r="H47" s="31">
        <v>1.5609958544</v>
      </c>
      <c r="I47" s="31" t="s">
        <v>224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10">
        <v>43831</v>
      </c>
      <c r="B48" s="33">
        <v>104.419</v>
      </c>
      <c r="C48" s="31">
        <v>25</v>
      </c>
      <c r="D48" s="31">
        <f t="shared" si="0"/>
        <v>1.7253136933988007</v>
      </c>
      <c r="E48" s="31">
        <v>25</v>
      </c>
      <c r="F48" s="31">
        <v>25</v>
      </c>
      <c r="G48" s="31">
        <v>1.7253136929999999</v>
      </c>
      <c r="H48" s="31">
        <v>1.3907039311</v>
      </c>
      <c r="I48" s="31" t="s">
        <v>225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10">
        <v>43862</v>
      </c>
      <c r="B49" s="33">
        <v>104.541</v>
      </c>
      <c r="C49" s="31">
        <v>26</v>
      </c>
      <c r="D49" s="31">
        <f t="shared" si="0"/>
        <v>1.6579796958263626</v>
      </c>
      <c r="E49" s="31">
        <v>26</v>
      </c>
      <c r="F49" s="31">
        <v>26</v>
      </c>
      <c r="G49" s="31">
        <v>1.6579796959999999</v>
      </c>
      <c r="H49" s="31">
        <v>1.2204120079</v>
      </c>
      <c r="I49" s="31" t="s">
        <v>226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10">
        <v>43891</v>
      </c>
      <c r="B50" s="33">
        <v>104.252</v>
      </c>
      <c r="C50" s="31">
        <v>27</v>
      </c>
      <c r="D50" s="31">
        <f t="shared" si="0"/>
        <v>1.1477747916444252</v>
      </c>
      <c r="E50" s="31">
        <v>27</v>
      </c>
      <c r="F50" s="31">
        <v>27</v>
      </c>
      <c r="G50" s="31">
        <v>1.1477747920000001</v>
      </c>
      <c r="H50" s="31">
        <v>1.0501200846000001</v>
      </c>
      <c r="I50" s="31" t="s">
        <v>227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10">
        <v>43922</v>
      </c>
      <c r="B51" s="33">
        <v>103.81699999999999</v>
      </c>
      <c r="C51" s="31">
        <v>28</v>
      </c>
      <c r="D51" s="31">
        <f t="shared" si="0"/>
        <v>0.44214396284829105</v>
      </c>
      <c r="E51" s="31">
        <v>28</v>
      </c>
      <c r="F51" s="31">
        <v>28</v>
      </c>
      <c r="G51" s="31">
        <v>0.44214396299999997</v>
      </c>
      <c r="H51" s="31">
        <v>0.87982816139999998</v>
      </c>
      <c r="I51" s="31" t="s">
        <v>228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10">
        <v>43952</v>
      </c>
      <c r="B52" s="33">
        <v>103.914</v>
      </c>
      <c r="C52" s="31">
        <v>29</v>
      </c>
      <c r="D52" s="31">
        <f t="shared" si="0"/>
        <v>0.46309276357132423</v>
      </c>
      <c r="E52" s="31">
        <v>29</v>
      </c>
      <c r="F52" s="31">
        <v>29</v>
      </c>
      <c r="G52" s="31">
        <v>0.46309276399999999</v>
      </c>
      <c r="H52" s="31">
        <v>0.70953623809999999</v>
      </c>
      <c r="I52" s="31" t="s">
        <v>229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10">
        <v>43983</v>
      </c>
      <c r="B53" s="33">
        <v>104.233</v>
      </c>
      <c r="C53" s="31">
        <v>30</v>
      </c>
      <c r="D53" s="31">
        <f t="shared" si="0"/>
        <v>0.7237833868037663</v>
      </c>
      <c r="E53" s="31">
        <v>30</v>
      </c>
      <c r="F53" s="31">
        <v>30</v>
      </c>
      <c r="G53" s="31">
        <v>0.723783387</v>
      </c>
      <c r="H53" s="31">
        <v>0.53924431480000001</v>
      </c>
      <c r="I53" s="31" t="s">
        <v>230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16">
        <v>44013</v>
      </c>
      <c r="B54" s="33">
        <v>104.56399999999999</v>
      </c>
      <c r="C54" s="31">
        <v>31</v>
      </c>
      <c r="D54" s="31">
        <f t="shared" si="0"/>
        <v>0.90907336279939888</v>
      </c>
      <c r="E54" s="31">
        <v>31</v>
      </c>
      <c r="F54" s="31">
        <v>31</v>
      </c>
      <c r="G54" s="31">
        <v>0.90907336299999997</v>
      </c>
      <c r="H54" s="31">
        <v>0.93293996089999998</v>
      </c>
      <c r="I54" s="31" t="s">
        <v>231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10">
        <v>44044</v>
      </c>
      <c r="B55" s="33">
        <v>104.887</v>
      </c>
      <c r="C55" s="31">
        <v>32</v>
      </c>
      <c r="D55" s="31">
        <f t="shared" si="0"/>
        <v>1.1739172373878641</v>
      </c>
      <c r="E55" s="31">
        <v>32</v>
      </c>
      <c r="F55" s="31">
        <v>32</v>
      </c>
      <c r="G55" s="31">
        <v>1.1739172369999999</v>
      </c>
      <c r="H55" s="31">
        <v>1.0382822183</v>
      </c>
      <c r="I55" s="31" t="s">
        <v>232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10">
        <v>44075</v>
      </c>
      <c r="B56" s="33">
        <v>105.04600000000001</v>
      </c>
      <c r="C56" s="31">
        <v>33</v>
      </c>
      <c r="D56" s="31">
        <f t="shared" si="0"/>
        <v>1.2657495686040146</v>
      </c>
      <c r="E56" s="31">
        <v>33</v>
      </c>
      <c r="F56" s="31">
        <v>33</v>
      </c>
      <c r="G56" s="31">
        <v>1.265749569</v>
      </c>
      <c r="H56" s="31">
        <v>1.1436244756</v>
      </c>
      <c r="I56" s="31" t="s">
        <v>233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10">
        <v>44105</v>
      </c>
      <c r="B57" s="33">
        <v>105.10599999999999</v>
      </c>
      <c r="C57" s="31">
        <v>34</v>
      </c>
      <c r="D57" s="31">
        <f t="shared" si="0"/>
        <v>1.144182376319556</v>
      </c>
      <c r="E57" s="31">
        <v>34</v>
      </c>
      <c r="F57" s="31">
        <v>34</v>
      </c>
      <c r="G57" s="31">
        <v>1.1441823760000001</v>
      </c>
      <c r="H57" s="31">
        <v>1.2489667330000001</v>
      </c>
      <c r="I57" s="31" t="s">
        <v>234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10">
        <v>44136</v>
      </c>
      <c r="B58" s="33">
        <v>105.22499999999999</v>
      </c>
      <c r="C58" s="31">
        <v>35</v>
      </c>
      <c r="D58" s="31">
        <f t="shared" si="0"/>
        <v>1.1545412597092914</v>
      </c>
      <c r="E58" s="31">
        <v>35</v>
      </c>
      <c r="F58" s="31">
        <v>35</v>
      </c>
      <c r="G58" s="31">
        <v>1.15454126</v>
      </c>
      <c r="H58" s="31">
        <v>1.3543089903000001</v>
      </c>
      <c r="I58" s="31" t="s">
        <v>109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10">
        <v>44166</v>
      </c>
      <c r="B59" s="33">
        <v>105.69</v>
      </c>
      <c r="C59" s="31">
        <v>36</v>
      </c>
      <c r="D59" s="31">
        <f t="shared" si="0"/>
        <v>1.3258937559320041</v>
      </c>
      <c r="E59" s="31">
        <v>36</v>
      </c>
      <c r="F59" s="31">
        <v>36</v>
      </c>
      <c r="G59" s="31">
        <v>1.3258937559999999</v>
      </c>
      <c r="H59" s="31">
        <v>1.4596512476000001</v>
      </c>
      <c r="I59" s="31" t="s">
        <v>235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10">
        <v>44197</v>
      </c>
      <c r="B60" s="33">
        <v>106.083</v>
      </c>
      <c r="C60" s="31">
        <v>37</v>
      </c>
      <c r="D60" s="31">
        <f t="shared" si="0"/>
        <v>1.5935797125044306</v>
      </c>
      <c r="E60" s="31">
        <v>37</v>
      </c>
      <c r="F60" s="31">
        <v>37</v>
      </c>
      <c r="G60" s="31">
        <v>1.593579713</v>
      </c>
      <c r="H60" s="31">
        <v>1.5649935049999999</v>
      </c>
      <c r="I60" s="31" t="s">
        <v>236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10">
        <v>44228</v>
      </c>
      <c r="B61" s="33">
        <v>106.471</v>
      </c>
      <c r="C61" s="31">
        <v>38</v>
      </c>
      <c r="D61" s="31">
        <f t="shared" si="0"/>
        <v>1.846165619230739</v>
      </c>
      <c r="E61" s="31">
        <v>38</v>
      </c>
      <c r="F61" s="31">
        <v>38</v>
      </c>
      <c r="G61" s="31">
        <v>1.846165619</v>
      </c>
      <c r="H61" s="31">
        <v>1.6703357622999999</v>
      </c>
      <c r="I61" s="31" t="s">
        <v>237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16">
        <v>44256</v>
      </c>
      <c r="B62" s="33">
        <v>107.032</v>
      </c>
      <c r="C62" s="31">
        <v>39</v>
      </c>
      <c r="D62" s="31">
        <f t="shared" si="0"/>
        <v>2.6666155085753762</v>
      </c>
      <c r="E62" s="31">
        <v>39</v>
      </c>
      <c r="F62" s="31">
        <v>39</v>
      </c>
      <c r="G62" s="31">
        <v>2.6666155090000001</v>
      </c>
      <c r="H62" s="31">
        <v>2.9906219456000001</v>
      </c>
      <c r="I62" s="31" t="s">
        <v>238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10">
        <v>44287</v>
      </c>
      <c r="B63" s="33">
        <v>107.63200000000001</v>
      </c>
      <c r="C63" s="31">
        <v>40</v>
      </c>
      <c r="D63" s="31">
        <f t="shared" si="0"/>
        <v>3.6747353516283576</v>
      </c>
      <c r="E63" s="31">
        <v>40</v>
      </c>
      <c r="F63" s="31">
        <v>40</v>
      </c>
      <c r="G63" s="31">
        <v>3.6747353519999999</v>
      </c>
      <c r="H63" s="31">
        <v>3.4240644095000001</v>
      </c>
      <c r="I63" s="31" t="s">
        <v>110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10">
        <v>44317</v>
      </c>
      <c r="B64" s="33">
        <v>108.184</v>
      </c>
      <c r="C64" s="31">
        <v>41</v>
      </c>
      <c r="D64" s="31">
        <f t="shared" si="0"/>
        <v>4.1091671959504934</v>
      </c>
      <c r="E64" s="31">
        <v>41</v>
      </c>
      <c r="F64" s="31">
        <v>41</v>
      </c>
      <c r="G64" s="31">
        <v>4.1091671959999996</v>
      </c>
      <c r="H64" s="31">
        <v>3.8575068734000002</v>
      </c>
      <c r="I64" s="31" t="s">
        <v>239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10">
        <v>44348</v>
      </c>
      <c r="B65" s="33">
        <v>108.748</v>
      </c>
      <c r="C65" s="31">
        <v>42</v>
      </c>
      <c r="D65" s="31">
        <f t="shared" si="0"/>
        <v>4.3316416106223556</v>
      </c>
      <c r="E65" s="31">
        <v>42</v>
      </c>
      <c r="F65" s="31">
        <v>42</v>
      </c>
      <c r="G65" s="31">
        <v>4.3316416110000002</v>
      </c>
      <c r="H65" s="31">
        <v>4.2909493372999998</v>
      </c>
      <c r="I65" s="31" t="s">
        <v>240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10">
        <v>44378</v>
      </c>
      <c r="B66" s="33">
        <v>109.27500000000001</v>
      </c>
      <c r="C66" s="31">
        <v>43</v>
      </c>
      <c r="D66" s="31">
        <f t="shared" si="0"/>
        <v>4.5053746987491037</v>
      </c>
      <c r="E66" s="31">
        <v>43</v>
      </c>
      <c r="F66" s="31">
        <v>43</v>
      </c>
      <c r="G66" s="31">
        <v>4.5053746989999999</v>
      </c>
      <c r="H66" s="31">
        <v>4.7243918012000004</v>
      </c>
      <c r="I66" s="31" t="s">
        <v>241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16">
        <v>44409</v>
      </c>
      <c r="B67" s="33">
        <v>109.72</v>
      </c>
      <c r="C67" s="31">
        <v>44</v>
      </c>
      <c r="D67" s="31">
        <f t="shared" si="0"/>
        <v>4.6078160305852949</v>
      </c>
      <c r="E67" s="31">
        <v>44</v>
      </c>
      <c r="F67" s="31">
        <v>44</v>
      </c>
      <c r="G67" s="31">
        <v>4.6078160309999996</v>
      </c>
      <c r="H67" s="31">
        <v>4.5053705653999998</v>
      </c>
      <c r="I67" s="31" t="s">
        <v>242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10">
        <v>44440</v>
      </c>
      <c r="B68" s="33">
        <v>110.047</v>
      </c>
      <c r="C68" s="31">
        <v>45</v>
      </c>
      <c r="D68" s="31">
        <f t="shared" si="0"/>
        <v>4.7607714715457901</v>
      </c>
      <c r="E68" s="31">
        <v>45</v>
      </c>
      <c r="F68" s="31">
        <v>45</v>
      </c>
      <c r="G68" s="31">
        <v>4.7607714720000001</v>
      </c>
      <c r="H68" s="31">
        <v>4.9409002427999997</v>
      </c>
      <c r="I68" s="31" t="s">
        <v>243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10">
        <v>44470</v>
      </c>
      <c r="B69" s="33">
        <v>110.741</v>
      </c>
      <c r="C69" s="31">
        <v>46</v>
      </c>
      <c r="D69" s="31">
        <f t="shared" si="0"/>
        <v>5.3612543527486585</v>
      </c>
      <c r="E69" s="31">
        <v>46</v>
      </c>
      <c r="F69" s="31">
        <v>46</v>
      </c>
      <c r="G69" s="31">
        <v>5.3612543529999996</v>
      </c>
      <c r="H69" s="31">
        <v>5.3764299201999997</v>
      </c>
      <c r="I69" s="31" t="s">
        <v>244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10">
        <v>44501</v>
      </c>
      <c r="B70" s="33">
        <v>111.51</v>
      </c>
      <c r="C70" s="31">
        <v>47</v>
      </c>
      <c r="D70" s="31">
        <f t="shared" si="0"/>
        <v>5.9729151817533968</v>
      </c>
      <c r="E70" s="31">
        <v>47</v>
      </c>
      <c r="F70" s="31">
        <v>47</v>
      </c>
      <c r="G70" s="31">
        <v>5.9729151820000004</v>
      </c>
      <c r="H70" s="31">
        <v>5.8119595975999996</v>
      </c>
      <c r="I70" s="31" t="s">
        <v>245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10">
        <v>44531</v>
      </c>
      <c r="B71" s="33">
        <v>112.221</v>
      </c>
      <c r="C71" s="31">
        <v>48</v>
      </c>
      <c r="D71" s="31">
        <f t="shared" si="0"/>
        <v>6.1793925631564068</v>
      </c>
      <c r="E71" s="31">
        <v>48</v>
      </c>
      <c r="F71" s="31">
        <v>48</v>
      </c>
      <c r="G71" s="31">
        <v>6.1793925630000004</v>
      </c>
      <c r="H71" s="31">
        <v>6.2474892750000004</v>
      </c>
      <c r="I71" s="31" t="s">
        <v>246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16">
        <v>44562</v>
      </c>
      <c r="B72" s="33">
        <v>112.776</v>
      </c>
      <c r="C72" s="31">
        <v>49</v>
      </c>
      <c r="D72" s="31">
        <f t="shared" si="0"/>
        <v>6.3092107123667294</v>
      </c>
      <c r="E72" s="31">
        <v>49</v>
      </c>
      <c r="F72" s="31">
        <v>49</v>
      </c>
      <c r="G72" s="31">
        <v>6.3092107119999996</v>
      </c>
      <c r="H72" s="31">
        <v>6.4083166605999997</v>
      </c>
      <c r="I72" s="31" t="s">
        <v>247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10">
        <v>44593</v>
      </c>
      <c r="B73" s="33">
        <v>113.489</v>
      </c>
      <c r="C73" s="31">
        <v>50</v>
      </c>
      <c r="D73" s="31">
        <f t="shared" si="0"/>
        <v>6.5914662208488703</v>
      </c>
      <c r="E73" s="31">
        <v>50</v>
      </c>
      <c r="F73" s="31">
        <v>50</v>
      </c>
      <c r="G73" s="31">
        <v>6.5914662210000001</v>
      </c>
      <c r="H73" s="31">
        <v>6.5529590067000001</v>
      </c>
      <c r="I73" s="31" t="s">
        <v>248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10">
        <v>44621</v>
      </c>
      <c r="B74" s="33">
        <v>114.489</v>
      </c>
      <c r="C74" s="31">
        <v>51</v>
      </c>
      <c r="D74" s="31">
        <f t="shared" si="0"/>
        <v>6.9670752672098137</v>
      </c>
      <c r="E74" s="31">
        <v>51</v>
      </c>
      <c r="F74" s="31">
        <v>51</v>
      </c>
      <c r="G74" s="31">
        <v>6.9670752670000002</v>
      </c>
      <c r="H74" s="31">
        <v>6.6976013527999996</v>
      </c>
      <c r="I74" s="31" t="s">
        <v>249</v>
      </c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10">
        <v>44652</v>
      </c>
      <c r="B75" s="33">
        <v>114.845</v>
      </c>
      <c r="C75" s="31">
        <v>52</v>
      </c>
      <c r="D75" s="31">
        <f t="shared" si="0"/>
        <v>6.7015385758882058</v>
      </c>
      <c r="E75" s="31">
        <v>52</v>
      </c>
      <c r="F75" s="31">
        <v>52</v>
      </c>
      <c r="G75" s="31">
        <v>6.7015385759999999</v>
      </c>
      <c r="H75" s="31">
        <v>6.8422436988999999</v>
      </c>
      <c r="I75" s="31" t="s">
        <v>250</v>
      </c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10">
        <v>44682</v>
      </c>
      <c r="B76" s="33">
        <v>115.542</v>
      </c>
      <c r="C76" s="31">
        <v>53</v>
      </c>
      <c r="D76" s="31">
        <f t="shared" si="0"/>
        <v>6.8013754344450232</v>
      </c>
      <c r="E76" s="31">
        <v>53</v>
      </c>
      <c r="F76" s="31">
        <v>53</v>
      </c>
      <c r="G76" s="31">
        <v>6.8013754339999997</v>
      </c>
      <c r="H76" s="31">
        <v>6.9868860450000003</v>
      </c>
      <c r="I76" s="31" t="s">
        <v>251</v>
      </c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10">
        <v>44713</v>
      </c>
      <c r="B77" s="33">
        <v>116.631</v>
      </c>
      <c r="C77" s="31">
        <v>54</v>
      </c>
      <c r="D77" s="31">
        <f t="shared" si="0"/>
        <v>7.2488689447162198</v>
      </c>
      <c r="E77" s="31">
        <v>54</v>
      </c>
      <c r="F77" s="31">
        <v>54</v>
      </c>
      <c r="G77" s="31">
        <v>7.2488689449999999</v>
      </c>
      <c r="H77" s="31">
        <v>7.1315283909999998</v>
      </c>
      <c r="I77" s="31" t="s">
        <v>252</v>
      </c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16">
        <v>44743</v>
      </c>
      <c r="B78" s="33">
        <v>116.66200000000001</v>
      </c>
      <c r="C78" s="31">
        <v>55</v>
      </c>
      <c r="D78" s="31">
        <f t="shared" si="0"/>
        <v>6.7600091512239766</v>
      </c>
      <c r="E78" s="31">
        <v>55</v>
      </c>
      <c r="F78" s="31">
        <v>55</v>
      </c>
      <c r="G78" s="31">
        <v>6.7600091510000002</v>
      </c>
      <c r="H78" s="31">
        <v>6.9431297947999999</v>
      </c>
      <c r="I78" s="31" t="s">
        <v>253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10">
        <v>44774</v>
      </c>
      <c r="B79" s="33">
        <v>117.002</v>
      </c>
      <c r="C79" s="31">
        <v>56</v>
      </c>
      <c r="D79" s="31">
        <f t="shared" si="0"/>
        <v>6.6368939117754246</v>
      </c>
      <c r="E79" s="31">
        <v>56</v>
      </c>
      <c r="F79" s="31">
        <v>56</v>
      </c>
      <c r="G79" s="31">
        <v>6.6368939119999997</v>
      </c>
      <c r="H79" s="31">
        <v>6.7013675118</v>
      </c>
      <c r="I79" s="31" t="s">
        <v>254</v>
      </c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10">
        <v>44805</v>
      </c>
      <c r="B80" s="33">
        <v>117.377</v>
      </c>
      <c r="C80" s="31">
        <v>57</v>
      </c>
      <c r="D80" s="31">
        <f t="shared" si="0"/>
        <v>6.6607903895608223</v>
      </c>
      <c r="E80" s="31">
        <v>57</v>
      </c>
      <c r="F80" s="31">
        <v>57</v>
      </c>
      <c r="G80" s="31">
        <v>6.6607903899999998</v>
      </c>
      <c r="H80" s="31">
        <v>6.4596052288000001</v>
      </c>
      <c r="I80" s="31" t="s">
        <v>255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10">
        <v>44835</v>
      </c>
      <c r="B81" s="33">
        <v>117.89100000000001</v>
      </c>
      <c r="C81" s="31">
        <v>58</v>
      </c>
      <c r="D81" s="31">
        <f t="shared" si="0"/>
        <v>6.4565066235630937</v>
      </c>
      <c r="E81" s="31">
        <v>58</v>
      </c>
      <c r="F81" s="31">
        <v>58</v>
      </c>
      <c r="G81" s="31">
        <v>6.4565066240000002</v>
      </c>
      <c r="H81" s="31">
        <v>6.2178429458000002</v>
      </c>
      <c r="I81" s="31" t="s">
        <v>256</v>
      </c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10">
        <v>44866</v>
      </c>
      <c r="B82" s="33">
        <v>118.221</v>
      </c>
      <c r="C82" s="31">
        <v>59</v>
      </c>
      <c r="D82" s="31">
        <f t="shared" si="0"/>
        <v>6.0182943233790684</v>
      </c>
      <c r="E82" s="31">
        <v>59</v>
      </c>
      <c r="F82" s="31">
        <v>59</v>
      </c>
      <c r="G82" s="31">
        <v>6.0182943230000001</v>
      </c>
      <c r="H82" s="31">
        <v>5.9760806627000003</v>
      </c>
      <c r="I82" s="31" t="s">
        <v>257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10">
        <v>44896</v>
      </c>
      <c r="B83" s="33">
        <v>118.40300000000001</v>
      </c>
      <c r="C83" s="31">
        <v>60</v>
      </c>
      <c r="D83" s="31">
        <f t="shared" si="0"/>
        <v>5.508772867823315</v>
      </c>
      <c r="E83" s="31">
        <v>60</v>
      </c>
      <c r="F83" s="31">
        <v>60</v>
      </c>
      <c r="G83" s="31">
        <v>5.5087728680000003</v>
      </c>
      <c r="H83" s="31">
        <v>5.7343183797000004</v>
      </c>
      <c r="I83" s="31" t="s">
        <v>258</v>
      </c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10">
        <v>44927</v>
      </c>
      <c r="B84" s="33">
        <v>119.00700000000001</v>
      </c>
      <c r="C84" s="31">
        <v>61</v>
      </c>
      <c r="D84" s="31">
        <f t="shared" si="0"/>
        <v>5.5251117258991354</v>
      </c>
      <c r="E84" s="31">
        <v>61</v>
      </c>
      <c r="F84" s="31">
        <v>61</v>
      </c>
      <c r="G84" s="31">
        <v>5.5251117259999996</v>
      </c>
      <c r="H84" s="31">
        <v>5.4925560966999996</v>
      </c>
      <c r="I84" s="31" t="s">
        <v>259</v>
      </c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10">
        <v>44958</v>
      </c>
      <c r="B85" s="33">
        <v>119.401</v>
      </c>
      <c r="C85" s="31">
        <v>62</v>
      </c>
      <c r="D85" s="31">
        <f t="shared" si="0"/>
        <v>5.2093154402629249</v>
      </c>
      <c r="E85" s="31">
        <v>62</v>
      </c>
      <c r="F85" s="31">
        <v>62</v>
      </c>
      <c r="G85" s="31">
        <v>5.2093154400000001</v>
      </c>
      <c r="H85" s="31">
        <v>5.2507938136999996</v>
      </c>
      <c r="I85" s="31" t="s">
        <v>260</v>
      </c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16">
        <v>44986</v>
      </c>
      <c r="B86" s="33">
        <v>119.553</v>
      </c>
      <c r="C86" s="31">
        <v>63</v>
      </c>
      <c r="D86" s="31">
        <f t="shared" si="0"/>
        <v>4.4231323533265146</v>
      </c>
      <c r="E86" s="31">
        <v>63</v>
      </c>
      <c r="F86" s="31">
        <v>63</v>
      </c>
      <c r="G86" s="31">
        <v>4.4231323529999997</v>
      </c>
      <c r="H86" s="31">
        <v>4.5600252061999997</v>
      </c>
      <c r="I86" s="31" t="s">
        <v>261</v>
      </c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10">
        <v>45017</v>
      </c>
      <c r="B87" s="33">
        <v>119.97</v>
      </c>
      <c r="C87" s="31">
        <v>64</v>
      </c>
      <c r="D87" s="31">
        <f t="shared" si="0"/>
        <v>4.4625364621881669</v>
      </c>
      <c r="E87" s="31">
        <v>64</v>
      </c>
      <c r="F87" s="31">
        <v>64</v>
      </c>
      <c r="G87" s="31">
        <v>4.4625364620000001</v>
      </c>
      <c r="H87" s="31">
        <v>4.2300717911000003</v>
      </c>
      <c r="I87" s="31" t="s">
        <v>262</v>
      </c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10">
        <v>45047</v>
      </c>
      <c r="B88" s="33">
        <v>120.14</v>
      </c>
      <c r="C88" s="31">
        <v>65</v>
      </c>
      <c r="D88" s="31">
        <f t="shared" si="0"/>
        <v>3.9795052881203361</v>
      </c>
      <c r="E88" s="31">
        <v>65</v>
      </c>
      <c r="F88" s="31">
        <v>65</v>
      </c>
      <c r="G88" s="31">
        <v>3.9795052879999999</v>
      </c>
      <c r="H88" s="31">
        <v>3.900118376</v>
      </c>
      <c r="I88" s="31" t="s">
        <v>263</v>
      </c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10">
        <v>45078</v>
      </c>
      <c r="B89" s="33">
        <v>120.435</v>
      </c>
      <c r="C89" s="31">
        <v>66</v>
      </c>
      <c r="D89" s="31">
        <f t="shared" si="0"/>
        <v>3.2615685366669256</v>
      </c>
      <c r="E89" s="31">
        <v>66</v>
      </c>
      <c r="F89" s="31">
        <v>66</v>
      </c>
      <c r="G89" s="31">
        <v>3.261568537</v>
      </c>
      <c r="H89" s="31">
        <v>3.5701649609000001</v>
      </c>
      <c r="I89" s="31" t="s">
        <v>264</v>
      </c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10">
        <v>45108</v>
      </c>
      <c r="B90" s="33">
        <v>120.598</v>
      </c>
      <c r="C90" s="31">
        <v>67</v>
      </c>
      <c r="D90" s="31">
        <f t="shared" ref="D90:D112" si="1">100*(B90-B78)/B78</f>
        <v>3.3738492396838669</v>
      </c>
      <c r="E90" s="31">
        <v>67</v>
      </c>
      <c r="F90" s="31">
        <v>67</v>
      </c>
      <c r="G90" s="31">
        <v>3.3738492400000002</v>
      </c>
      <c r="H90" s="31">
        <v>3.2402115457999998</v>
      </c>
      <c r="I90" s="31" t="s">
        <v>265</v>
      </c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16">
        <v>45139</v>
      </c>
      <c r="B91" s="33">
        <v>120.965</v>
      </c>
      <c r="C91" s="31">
        <v>68</v>
      </c>
      <c r="D91" s="31">
        <f t="shared" si="1"/>
        <v>3.3871215876651752</v>
      </c>
      <c r="E91" s="31">
        <v>68</v>
      </c>
      <c r="F91" s="31">
        <v>68</v>
      </c>
      <c r="G91" s="31">
        <v>3.3871215879999998</v>
      </c>
      <c r="H91" s="31">
        <v>3.4573101756</v>
      </c>
      <c r="I91" s="31" t="s">
        <v>266</v>
      </c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10">
        <v>45170</v>
      </c>
      <c r="B92" s="33">
        <v>121.387</v>
      </c>
      <c r="C92" s="31">
        <v>69</v>
      </c>
      <c r="D92" s="31">
        <f t="shared" si="1"/>
        <v>3.4163422135512111</v>
      </c>
      <c r="E92" s="31">
        <v>69</v>
      </c>
      <c r="F92" s="31">
        <v>69</v>
      </c>
      <c r="G92" s="31">
        <v>3.4163422140000002</v>
      </c>
      <c r="H92" s="31">
        <v>3.2487815328999998</v>
      </c>
      <c r="I92" s="31" t="s">
        <v>273</v>
      </c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10">
        <v>45200</v>
      </c>
      <c r="B93" s="33">
        <v>121.42100000000001</v>
      </c>
      <c r="C93" s="31">
        <v>70</v>
      </c>
      <c r="D93" s="31">
        <f t="shared" si="1"/>
        <v>2.9942913369129118</v>
      </c>
      <c r="E93" s="31">
        <v>70</v>
      </c>
      <c r="F93" s="31">
        <v>70</v>
      </c>
      <c r="G93" s="31">
        <v>2.9942913369999999</v>
      </c>
      <c r="H93" s="31">
        <v>3.0402528902000001</v>
      </c>
      <c r="I93" s="31" t="s">
        <v>274</v>
      </c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 ht="15">
      <c r="A94" s="10">
        <v>45231</v>
      </c>
      <c r="B94" s="33">
        <v>121.41500000000001</v>
      </c>
      <c r="C94" s="31">
        <v>71</v>
      </c>
      <c r="D94" s="31">
        <f t="shared" si="1"/>
        <v>2.7017196606355913</v>
      </c>
      <c r="E94" s="31">
        <v>71</v>
      </c>
      <c r="F94" s="31">
        <v>71</v>
      </c>
      <c r="G94" s="31">
        <v>2.7017196609999998</v>
      </c>
      <c r="H94" s="31">
        <v>2.8317242475</v>
      </c>
      <c r="I94" s="31" t="s">
        <v>354</v>
      </c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10">
        <v>45261</v>
      </c>
      <c r="B95" s="33">
        <v>121.602</v>
      </c>
      <c r="C95" s="31">
        <v>72</v>
      </c>
      <c r="D95" s="31">
        <f t="shared" si="1"/>
        <v>2.7017896506000674</v>
      </c>
      <c r="E95" s="31">
        <v>72</v>
      </c>
      <c r="F95" s="31">
        <v>72</v>
      </c>
      <c r="G95" s="31">
        <v>2.7017896509999999</v>
      </c>
      <c r="H95" s="31">
        <v>2.6231956047999998</v>
      </c>
      <c r="I95" s="31" t="s">
        <v>331</v>
      </c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16">
        <v>45292</v>
      </c>
      <c r="B96" s="13">
        <v>122.11499999999999</v>
      </c>
      <c r="C96" s="14">
        <v>73</v>
      </c>
      <c r="D96" s="14">
        <f t="shared" si="1"/>
        <v>2.6116110817010676</v>
      </c>
      <c r="E96" s="14">
        <v>73</v>
      </c>
      <c r="F96" s="14">
        <v>73</v>
      </c>
      <c r="G96" s="14">
        <v>2.611611082</v>
      </c>
      <c r="H96" s="14">
        <v>2.7716413211000002</v>
      </c>
      <c r="I96" s="31" t="s">
        <v>332</v>
      </c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10">
        <v>45323</v>
      </c>
      <c r="B97" s="33">
        <v>122.494</v>
      </c>
      <c r="C97" s="31">
        <v>74</v>
      </c>
      <c r="D97" s="31">
        <f t="shared" si="1"/>
        <v>2.5904305659081612</v>
      </c>
      <c r="E97" s="31">
        <v>74</v>
      </c>
      <c r="F97" s="31">
        <v>74</v>
      </c>
      <c r="G97" s="31">
        <v>2.5904305660000002</v>
      </c>
      <c r="H97" s="31">
        <v>2.7062235499999998</v>
      </c>
      <c r="I97" s="31" t="s">
        <v>355</v>
      </c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10">
        <v>45352</v>
      </c>
      <c r="B98" s="33">
        <v>122.91200000000001</v>
      </c>
      <c r="C98" s="31">
        <v>75</v>
      </c>
      <c r="D98" s="31">
        <f t="shared" si="1"/>
        <v>2.8096325479076301</v>
      </c>
      <c r="E98" s="31">
        <v>75</v>
      </c>
      <c r="F98" s="31">
        <v>75</v>
      </c>
      <c r="G98" s="31">
        <v>2.8096325480000002</v>
      </c>
      <c r="H98" s="31">
        <v>2.6408057787999999</v>
      </c>
      <c r="I98" s="31" t="s">
        <v>356</v>
      </c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 ht="15">
      <c r="A99" s="10">
        <v>45383</v>
      </c>
      <c r="B99" s="33">
        <v>123.23399999999999</v>
      </c>
      <c r="C99" s="31">
        <v>76</v>
      </c>
      <c r="D99" s="31">
        <f t="shared" si="1"/>
        <v>2.720680170042507</v>
      </c>
      <c r="E99" s="31">
        <v>76</v>
      </c>
      <c r="F99" s="31">
        <v>76</v>
      </c>
      <c r="G99" s="31">
        <v>2.7206801700000001</v>
      </c>
      <c r="H99" s="31">
        <v>2.5753880077</v>
      </c>
      <c r="I99" s="31" t="s">
        <v>357</v>
      </c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10">
        <v>45413</v>
      </c>
      <c r="B100" s="33">
        <v>123.224</v>
      </c>
      <c r="C100" s="31">
        <v>77</v>
      </c>
      <c r="D100" s="31">
        <f t="shared" si="1"/>
        <v>2.5670051606459157</v>
      </c>
      <c r="E100" s="31">
        <v>77</v>
      </c>
      <c r="F100" s="31">
        <v>77</v>
      </c>
      <c r="G100" s="31">
        <v>2.567005161</v>
      </c>
      <c r="H100" s="31">
        <v>2.5099702366000001</v>
      </c>
      <c r="I100" s="31" t="s">
        <v>358</v>
      </c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10">
        <v>45444</v>
      </c>
      <c r="B101" s="33">
        <v>123.369</v>
      </c>
      <c r="C101" s="31">
        <v>78</v>
      </c>
      <c r="D101" s="31">
        <f t="shared" si="1"/>
        <v>2.4361688877817889</v>
      </c>
      <c r="E101" s="31">
        <v>78</v>
      </c>
      <c r="F101" s="31">
        <v>78</v>
      </c>
      <c r="G101" s="31">
        <v>2.4361688880000001</v>
      </c>
      <c r="H101" s="31">
        <v>2.4445524654000002</v>
      </c>
      <c r="I101" s="31" t="s">
        <v>359</v>
      </c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10">
        <v>45474</v>
      </c>
      <c r="B102" s="33">
        <v>123.575</v>
      </c>
      <c r="C102" s="31">
        <v>79</v>
      </c>
      <c r="D102" s="31">
        <f t="shared" si="1"/>
        <v>2.4685318164480372</v>
      </c>
      <c r="E102" s="31">
        <v>79</v>
      </c>
      <c r="F102" s="31">
        <v>79</v>
      </c>
      <c r="G102" s="31">
        <v>2.468531816</v>
      </c>
      <c r="H102" s="31">
        <v>2.3791346942999998</v>
      </c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10">
        <v>45505</v>
      </c>
      <c r="B103" s="33">
        <v>123.727</v>
      </c>
      <c r="C103" s="31">
        <v>80</v>
      </c>
      <c r="D103" s="31">
        <f t="shared" si="1"/>
        <v>2.2833050882486674</v>
      </c>
      <c r="E103" s="31">
        <v>80</v>
      </c>
      <c r="F103" s="31">
        <v>80</v>
      </c>
      <c r="G103" s="31">
        <v>2.2833050880000001</v>
      </c>
      <c r="H103" s="31">
        <v>2.3137169231999999</v>
      </c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10">
        <v>45536</v>
      </c>
      <c r="B104" s="33">
        <v>123.93899999999999</v>
      </c>
      <c r="C104" s="31">
        <v>81</v>
      </c>
      <c r="D104" s="31">
        <f t="shared" si="1"/>
        <v>2.1023668102844559</v>
      </c>
      <c r="E104" s="31">
        <v>81</v>
      </c>
      <c r="F104" s="31">
        <v>81</v>
      </c>
      <c r="G104" s="31">
        <v>2.1023668099999999</v>
      </c>
      <c r="H104" s="31">
        <v>2.248299152</v>
      </c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16">
        <v>45566</v>
      </c>
      <c r="B105" s="13">
        <v>124.265</v>
      </c>
      <c r="C105" s="14">
        <v>82</v>
      </c>
      <c r="D105" s="14">
        <f t="shared" si="1"/>
        <v>2.3422636940891559</v>
      </c>
      <c r="E105" s="14">
        <v>82</v>
      </c>
      <c r="F105" s="14">
        <v>82</v>
      </c>
      <c r="G105" s="14">
        <v>2.3422636940000001</v>
      </c>
      <c r="H105" s="14">
        <v>2.5223860466999999</v>
      </c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10">
        <v>45597</v>
      </c>
      <c r="B106" s="33">
        <v>124.399</v>
      </c>
      <c r="C106" s="31">
        <v>83</v>
      </c>
      <c r="D106" s="31">
        <f t="shared" si="1"/>
        <v>2.4576864473088125</v>
      </c>
      <c r="E106" s="31">
        <v>83</v>
      </c>
      <c r="F106" s="31">
        <v>83</v>
      </c>
      <c r="G106" s="31">
        <v>2.4576864469999999</v>
      </c>
      <c r="H106" s="31">
        <v>2.4987777249000001</v>
      </c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10">
        <v>45627</v>
      </c>
      <c r="B107" s="33">
        <v>124.76900000000001</v>
      </c>
      <c r="C107" s="31">
        <v>84</v>
      </c>
      <c r="D107" s="31">
        <f t="shared" si="1"/>
        <v>2.6043979539810214</v>
      </c>
      <c r="E107" s="31">
        <v>84</v>
      </c>
      <c r="F107" s="31">
        <v>84</v>
      </c>
      <c r="G107" s="31">
        <v>2.604397954</v>
      </c>
      <c r="H107" s="31">
        <v>2.4751694031999998</v>
      </c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10">
        <v>45658</v>
      </c>
      <c r="B108" s="33">
        <v>125.239</v>
      </c>
      <c r="C108" s="31">
        <v>85</v>
      </c>
      <c r="D108" s="31">
        <f t="shared" si="1"/>
        <v>2.5582442779347416</v>
      </c>
      <c r="E108" s="31">
        <v>85</v>
      </c>
      <c r="F108" s="31">
        <v>85</v>
      </c>
      <c r="G108" s="31">
        <v>2.5582442780000001</v>
      </c>
      <c r="H108" s="31">
        <v>2.4515610815</v>
      </c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10">
        <v>45689</v>
      </c>
      <c r="B109" s="33">
        <v>125.77200000000001</v>
      </c>
      <c r="C109" s="31">
        <v>86</v>
      </c>
      <c r="D109" s="31">
        <f t="shared" si="1"/>
        <v>2.6760494391562082</v>
      </c>
      <c r="E109" s="31">
        <v>86</v>
      </c>
      <c r="F109" s="31">
        <v>86</v>
      </c>
      <c r="G109" s="31">
        <v>2.6760494389999998</v>
      </c>
      <c r="H109" s="31">
        <v>2.4279527598000001</v>
      </c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50">
        <v>45717</v>
      </c>
      <c r="B110" s="51">
        <v>125.791</v>
      </c>
      <c r="C110" s="52">
        <v>87</v>
      </c>
      <c r="D110" s="52">
        <f t="shared" si="1"/>
        <v>2.3423262171309478</v>
      </c>
      <c r="E110" s="52">
        <v>87</v>
      </c>
      <c r="F110" s="52">
        <v>87</v>
      </c>
      <c r="G110" s="52">
        <v>2.3423262170000001</v>
      </c>
      <c r="H110" s="52">
        <v>2.4043444379999999</v>
      </c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10">
        <v>45748</v>
      </c>
      <c r="B111" s="33">
        <v>125.93899999999999</v>
      </c>
      <c r="C111" s="31">
        <v>88</v>
      </c>
      <c r="D111" s="31">
        <f t="shared" si="1"/>
        <v>2.1950111170618487</v>
      </c>
      <c r="E111" s="31">
        <v>88</v>
      </c>
      <c r="F111" s="31">
        <v>88</v>
      </c>
      <c r="G111" s="31">
        <v>2.195011117</v>
      </c>
      <c r="H111" s="31">
        <v>2.3807361163</v>
      </c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10">
        <v>45778</v>
      </c>
      <c r="B112" s="33">
        <v>126.11</v>
      </c>
      <c r="C112" s="31">
        <v>89</v>
      </c>
      <c r="D112" s="31">
        <f t="shared" si="1"/>
        <v>2.3420762189183888</v>
      </c>
      <c r="E112" s="31">
        <v>89</v>
      </c>
      <c r="F112" s="31">
        <v>89</v>
      </c>
      <c r="G112" s="31">
        <v>2.342076219</v>
      </c>
      <c r="H112" s="31">
        <v>2.3571277946000002</v>
      </c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 ht="15">
      <c r="A113" s="31"/>
      <c r="B113" s="33"/>
      <c r="C113" s="31"/>
      <c r="D113" s="31"/>
      <c r="E113" s="31"/>
      <c r="F113" s="31"/>
      <c r="G113" s="31"/>
      <c r="H113" s="31"/>
      <c r="I113" s="49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662B-4B09-402F-9A4E-E9B25221C0AC}">
  <dimension ref="A1:I111"/>
  <sheetViews>
    <sheetView topLeftCell="A90" workbookViewId="0">
      <selection activeCell="I109" sqref="I109:I111"/>
    </sheetView>
  </sheetViews>
  <sheetFormatPr defaultRowHeight="13.2"/>
  <cols>
    <col min="1" max="1" width="12.6640625" customWidth="1"/>
  </cols>
  <sheetData>
    <row r="1" spans="1:3" ht="15">
      <c r="A1" s="37" t="s">
        <v>0</v>
      </c>
      <c r="B1" s="37"/>
      <c r="C1" s="37"/>
    </row>
    <row r="2" spans="1:3" ht="15">
      <c r="A2" s="37" t="s">
        <v>302</v>
      </c>
      <c r="B2" s="37"/>
      <c r="C2" s="37"/>
    </row>
    <row r="3" spans="1:3" ht="15">
      <c r="A3" s="37" t="s">
        <v>2</v>
      </c>
      <c r="B3" s="37"/>
      <c r="C3" s="37"/>
    </row>
    <row r="4" spans="1:3" ht="15">
      <c r="A4" s="37" t="s">
        <v>3</v>
      </c>
      <c r="B4" s="37"/>
      <c r="C4" s="37"/>
    </row>
    <row r="5" spans="1:3" ht="15">
      <c r="A5" s="37" t="s">
        <v>303</v>
      </c>
      <c r="B5" s="37"/>
      <c r="C5" s="37"/>
    </row>
    <row r="6" spans="1:3" ht="15">
      <c r="A6" s="37" t="s">
        <v>344</v>
      </c>
      <c r="B6" s="37"/>
      <c r="C6" s="37"/>
    </row>
    <row r="7" spans="1:3">
      <c r="A7" s="38"/>
      <c r="B7" s="38"/>
      <c r="C7" s="38"/>
    </row>
    <row r="8" spans="1:3" ht="15">
      <c r="A8" s="37" t="s">
        <v>6</v>
      </c>
      <c r="B8" s="37" t="s">
        <v>7</v>
      </c>
      <c r="C8" s="37" t="s">
        <v>345</v>
      </c>
    </row>
    <row r="11" spans="1:3" ht="15">
      <c r="A11" s="46" t="s">
        <v>9</v>
      </c>
      <c r="B11" s="48" t="s">
        <v>6</v>
      </c>
    </row>
    <row r="12" spans="1:3" ht="15">
      <c r="A12" s="32">
        <v>42736</v>
      </c>
      <c r="B12" s="47">
        <v>99.450999999999993</v>
      </c>
    </row>
    <row r="13" spans="1:3" ht="15">
      <c r="A13" s="32">
        <v>42767</v>
      </c>
      <c r="B13" s="47">
        <v>99.585999999999999</v>
      </c>
    </row>
    <row r="14" spans="1:3" ht="15">
      <c r="A14" s="32">
        <v>42795</v>
      </c>
      <c r="B14" s="47">
        <v>99.534999999999997</v>
      </c>
    </row>
    <row r="15" spans="1:3" ht="15">
      <c r="A15" s="32">
        <v>42826</v>
      </c>
      <c r="B15" s="47">
        <v>99.724999999999994</v>
      </c>
    </row>
    <row r="16" spans="1:3" ht="15">
      <c r="A16" s="32">
        <v>42856</v>
      </c>
      <c r="B16" s="47">
        <v>99.682000000000002</v>
      </c>
    </row>
    <row r="17" spans="1:9" ht="15">
      <c r="A17" s="32">
        <v>42887</v>
      </c>
      <c r="B17" s="47">
        <v>99.766000000000005</v>
      </c>
    </row>
    <row r="18" spans="1:9" ht="15">
      <c r="A18" s="32">
        <v>42917</v>
      </c>
      <c r="B18" s="47">
        <v>99.802999999999997</v>
      </c>
    </row>
    <row r="19" spans="1:9" ht="15">
      <c r="A19" s="32">
        <v>42948</v>
      </c>
      <c r="B19" s="47">
        <v>100.027</v>
      </c>
    </row>
    <row r="20" spans="1:9" ht="15">
      <c r="A20" s="32">
        <v>42979</v>
      </c>
      <c r="B20" s="47">
        <v>100.4</v>
      </c>
    </row>
    <row r="21" spans="1:9" ht="15">
      <c r="A21" s="32">
        <v>43009</v>
      </c>
      <c r="B21" s="47">
        <v>100.53100000000001</v>
      </c>
    </row>
    <row r="22" spans="1:9" ht="15">
      <c r="A22" s="32">
        <v>43040</v>
      </c>
      <c r="B22" s="47">
        <v>100.675</v>
      </c>
    </row>
    <row r="23" spans="1:9" ht="15">
      <c r="A23" s="32">
        <v>43070</v>
      </c>
      <c r="B23" s="47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5">
      <c r="A24" s="10">
        <v>43101</v>
      </c>
      <c r="B24" s="47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 ht="15">
      <c r="A25" s="10">
        <v>43132</v>
      </c>
      <c r="B25" s="47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346</v>
      </c>
    </row>
    <row r="26" spans="1:9" ht="15">
      <c r="A26" s="10">
        <v>43160</v>
      </c>
      <c r="B26" s="47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 ht="15">
      <c r="A27" s="10">
        <v>43191</v>
      </c>
      <c r="B27" s="47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 ht="15">
      <c r="A28" s="10">
        <v>43221</v>
      </c>
      <c r="B28" s="47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 ht="15">
      <c r="A29" s="16">
        <v>43252</v>
      </c>
      <c r="B29" s="47">
        <v>102.029</v>
      </c>
      <c r="C29" s="14">
        <v>6</v>
      </c>
      <c r="D29" s="14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 ht="15">
      <c r="A30" s="10">
        <v>43282</v>
      </c>
      <c r="B30" s="47">
        <v>102.137</v>
      </c>
      <c r="C30" s="9">
        <v>7</v>
      </c>
      <c r="D30" s="9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 ht="15">
      <c r="A31" s="10">
        <v>43313</v>
      </c>
      <c r="B31" s="47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 ht="15">
      <c r="A32" s="10">
        <v>43344</v>
      </c>
      <c r="B32" s="47">
        <v>102.41800000000001</v>
      </c>
      <c r="C32" s="9">
        <v>9</v>
      </c>
      <c r="D32" s="9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 ht="15">
      <c r="A33" s="10">
        <v>43374</v>
      </c>
      <c r="B33" s="47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 ht="15">
      <c r="A34" s="10">
        <v>43405</v>
      </c>
      <c r="B34" s="47">
        <v>102.63</v>
      </c>
      <c r="C34" s="9">
        <v>11</v>
      </c>
      <c r="D34" s="9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 ht="15">
      <c r="A35" s="10">
        <v>43435</v>
      </c>
      <c r="B35" s="47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 ht="15">
      <c r="A36" s="16">
        <v>43466</v>
      </c>
      <c r="B36" s="47">
        <v>102.648</v>
      </c>
      <c r="C36" s="14">
        <v>13</v>
      </c>
      <c r="D36" s="14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 ht="15">
      <c r="A37" s="10">
        <v>43497</v>
      </c>
      <c r="B37" s="47">
        <v>102.836</v>
      </c>
      <c r="C37" s="9">
        <v>14</v>
      </c>
      <c r="D37" s="9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 ht="15">
      <c r="A38" s="10">
        <v>43525</v>
      </c>
      <c r="B38" s="47">
        <v>103.069</v>
      </c>
      <c r="C38" s="9">
        <v>15</v>
      </c>
      <c r="D38" s="9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 ht="15">
      <c r="A39" s="10">
        <v>43556</v>
      </c>
      <c r="B39" s="47">
        <v>103.36</v>
      </c>
      <c r="C39" s="9">
        <v>16</v>
      </c>
      <c r="D39" s="9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 ht="15">
      <c r="A40" s="10">
        <v>43586</v>
      </c>
      <c r="B40" s="47">
        <v>103.435</v>
      </c>
      <c r="C40" s="9">
        <v>17</v>
      </c>
      <c r="D40" s="9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 ht="15">
      <c r="A41" s="16">
        <v>43617</v>
      </c>
      <c r="B41" s="47">
        <v>103.48399999999999</v>
      </c>
      <c r="C41" s="14">
        <v>18</v>
      </c>
      <c r="D41" s="14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 ht="15">
      <c r="A42" s="10">
        <v>43647</v>
      </c>
      <c r="B42" s="47">
        <v>103.622</v>
      </c>
      <c r="C42" s="9">
        <v>19</v>
      </c>
      <c r="D42" s="9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 ht="15">
      <c r="A43" s="10">
        <v>43678</v>
      </c>
      <c r="B43" s="47">
        <v>103.67</v>
      </c>
      <c r="C43" s="9">
        <v>20</v>
      </c>
      <c r="D43" s="9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 ht="15">
      <c r="A44" s="10">
        <v>43709</v>
      </c>
      <c r="B44" s="47">
        <v>103.733</v>
      </c>
      <c r="C44" s="9">
        <v>21</v>
      </c>
      <c r="D44" s="9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 ht="15">
      <c r="A45" s="10">
        <v>43739</v>
      </c>
      <c r="B45" s="47">
        <v>103.917</v>
      </c>
      <c r="C45" s="9">
        <v>22</v>
      </c>
      <c r="D45" s="9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 ht="15">
      <c r="A46" s="16">
        <v>43770</v>
      </c>
      <c r="B46" s="47">
        <v>104.024</v>
      </c>
      <c r="C46" s="14">
        <v>23</v>
      </c>
      <c r="D46" s="14">
        <f t="shared" si="0"/>
        <v>1.3582773068303668</v>
      </c>
      <c r="E46">
        <v>23</v>
      </c>
      <c r="F46">
        <v>23</v>
      </c>
      <c r="G46">
        <v>1.358277307</v>
      </c>
      <c r="H46">
        <v>1.7312877777</v>
      </c>
      <c r="I46" t="s">
        <v>223</v>
      </c>
    </row>
    <row r="47" spans="1:9" ht="15">
      <c r="A47" s="10">
        <v>43800</v>
      </c>
      <c r="B47" s="47">
        <v>104.307</v>
      </c>
      <c r="C47" s="9">
        <v>24</v>
      </c>
      <c r="D47" s="9">
        <f t="shared" si="0"/>
        <v>1.5637627676458932</v>
      </c>
      <c r="E47">
        <v>24</v>
      </c>
      <c r="F47">
        <v>24</v>
      </c>
      <c r="G47">
        <v>1.5637627679999999</v>
      </c>
      <c r="H47">
        <v>1.5609958544</v>
      </c>
      <c r="I47" t="s">
        <v>224</v>
      </c>
    </row>
    <row r="48" spans="1:9" ht="15">
      <c r="A48" s="10">
        <v>43831</v>
      </c>
      <c r="B48" s="47">
        <v>104.419</v>
      </c>
      <c r="C48" s="9">
        <v>25</v>
      </c>
      <c r="D48" s="9">
        <f t="shared" si="0"/>
        <v>1.7253136933988007</v>
      </c>
      <c r="E48">
        <v>25</v>
      </c>
      <c r="F48">
        <v>25</v>
      </c>
      <c r="G48">
        <v>1.7253136929999999</v>
      </c>
      <c r="H48">
        <v>1.3907039311</v>
      </c>
      <c r="I48" t="s">
        <v>225</v>
      </c>
    </row>
    <row r="49" spans="1:9" ht="15">
      <c r="A49" s="10">
        <v>43862</v>
      </c>
      <c r="B49" s="47">
        <v>104.541</v>
      </c>
      <c r="C49" s="9">
        <v>26</v>
      </c>
      <c r="D49" s="9">
        <f t="shared" si="0"/>
        <v>1.6579796958263626</v>
      </c>
      <c r="E49">
        <v>26</v>
      </c>
      <c r="F49">
        <v>26</v>
      </c>
      <c r="G49">
        <v>1.6579796959999999</v>
      </c>
      <c r="H49">
        <v>1.2204120079</v>
      </c>
      <c r="I49" t="s">
        <v>226</v>
      </c>
    </row>
    <row r="50" spans="1:9" ht="15">
      <c r="A50" s="10">
        <v>43891</v>
      </c>
      <c r="B50" s="47">
        <v>104.252</v>
      </c>
      <c r="C50" s="9">
        <v>27</v>
      </c>
      <c r="D50" s="9">
        <f t="shared" si="0"/>
        <v>1.1477747916444252</v>
      </c>
      <c r="E50">
        <v>27</v>
      </c>
      <c r="F50">
        <v>27</v>
      </c>
      <c r="G50">
        <v>1.1477747920000001</v>
      </c>
      <c r="H50">
        <v>1.0501200846000001</v>
      </c>
      <c r="I50" t="s">
        <v>227</v>
      </c>
    </row>
    <row r="51" spans="1:9" ht="15">
      <c r="A51" s="10">
        <v>43922</v>
      </c>
      <c r="B51" s="47">
        <v>103.81699999999999</v>
      </c>
      <c r="C51" s="9">
        <v>28</v>
      </c>
      <c r="D51" s="9">
        <f t="shared" si="0"/>
        <v>0.44214396284829105</v>
      </c>
      <c r="E51">
        <v>28</v>
      </c>
      <c r="F51">
        <v>28</v>
      </c>
      <c r="G51">
        <v>0.44214396299999997</v>
      </c>
      <c r="H51">
        <v>0.87982816139999998</v>
      </c>
      <c r="I51" t="s">
        <v>228</v>
      </c>
    </row>
    <row r="52" spans="1:9" ht="15">
      <c r="A52" s="10">
        <v>43952</v>
      </c>
      <c r="B52" s="47">
        <v>103.914</v>
      </c>
      <c r="C52" s="9">
        <v>29</v>
      </c>
      <c r="D52" s="9">
        <f t="shared" si="0"/>
        <v>0.46309276357132423</v>
      </c>
      <c r="E52">
        <v>29</v>
      </c>
      <c r="F52">
        <v>29</v>
      </c>
      <c r="G52">
        <v>0.46309276399999999</v>
      </c>
      <c r="H52">
        <v>0.70953623809999999</v>
      </c>
      <c r="I52" t="s">
        <v>229</v>
      </c>
    </row>
    <row r="53" spans="1:9" ht="15">
      <c r="A53" s="10">
        <v>43983</v>
      </c>
      <c r="B53" s="47">
        <v>104.233</v>
      </c>
      <c r="C53" s="9">
        <v>30</v>
      </c>
      <c r="D53" s="9">
        <f t="shared" si="0"/>
        <v>0.7237833868037663</v>
      </c>
      <c r="E53">
        <v>30</v>
      </c>
      <c r="F53">
        <v>30</v>
      </c>
      <c r="G53">
        <v>0.723783387</v>
      </c>
      <c r="H53">
        <v>0.53924431480000001</v>
      </c>
      <c r="I53" t="s">
        <v>230</v>
      </c>
    </row>
    <row r="54" spans="1:9" ht="15">
      <c r="A54" s="16">
        <v>44013</v>
      </c>
      <c r="B54" s="47">
        <v>104.56399999999999</v>
      </c>
      <c r="C54" s="14">
        <v>31</v>
      </c>
      <c r="D54" s="14">
        <f t="shared" si="0"/>
        <v>0.90907336279939888</v>
      </c>
      <c r="E54">
        <v>31</v>
      </c>
      <c r="F54">
        <v>31</v>
      </c>
      <c r="G54">
        <v>0.90907336299999997</v>
      </c>
      <c r="H54">
        <v>0.93293996089999998</v>
      </c>
      <c r="I54" t="s">
        <v>231</v>
      </c>
    </row>
    <row r="55" spans="1:9" ht="15">
      <c r="A55" s="10">
        <v>44044</v>
      </c>
      <c r="B55" s="47">
        <v>104.887</v>
      </c>
      <c r="C55" s="9">
        <v>32</v>
      </c>
      <c r="D55" s="9">
        <f t="shared" si="0"/>
        <v>1.1739172373878641</v>
      </c>
      <c r="E55">
        <v>32</v>
      </c>
      <c r="F55">
        <v>32</v>
      </c>
      <c r="G55">
        <v>1.1739172369999999</v>
      </c>
      <c r="H55">
        <v>1.0382822183</v>
      </c>
      <c r="I55" t="s">
        <v>232</v>
      </c>
    </row>
    <row r="56" spans="1:9" ht="15">
      <c r="A56" s="10">
        <v>44075</v>
      </c>
      <c r="B56" s="47">
        <v>105.04600000000001</v>
      </c>
      <c r="C56" s="9">
        <v>33</v>
      </c>
      <c r="D56" s="9">
        <f t="shared" si="0"/>
        <v>1.2657495686040146</v>
      </c>
      <c r="E56">
        <v>33</v>
      </c>
      <c r="F56">
        <v>33</v>
      </c>
      <c r="G56">
        <v>1.265749569</v>
      </c>
      <c r="H56">
        <v>1.1436244756</v>
      </c>
      <c r="I56" t="s">
        <v>233</v>
      </c>
    </row>
    <row r="57" spans="1:9" ht="15">
      <c r="A57" s="10">
        <v>44105</v>
      </c>
      <c r="B57" s="47">
        <v>105.10599999999999</v>
      </c>
      <c r="C57" s="9">
        <v>34</v>
      </c>
      <c r="D57" s="9">
        <f t="shared" si="0"/>
        <v>1.144182376319556</v>
      </c>
      <c r="E57">
        <v>34</v>
      </c>
      <c r="F57">
        <v>34</v>
      </c>
      <c r="G57">
        <v>1.1441823760000001</v>
      </c>
      <c r="H57">
        <v>1.2489667330000001</v>
      </c>
      <c r="I57" t="s">
        <v>234</v>
      </c>
    </row>
    <row r="58" spans="1:9" ht="15">
      <c r="A58" s="10">
        <v>44136</v>
      </c>
      <c r="B58" s="47">
        <v>105.22499999999999</v>
      </c>
      <c r="C58" s="9">
        <v>35</v>
      </c>
      <c r="D58" s="9">
        <f t="shared" si="0"/>
        <v>1.1545412597092914</v>
      </c>
      <c r="E58">
        <v>35</v>
      </c>
      <c r="F58">
        <v>35</v>
      </c>
      <c r="G58">
        <v>1.15454126</v>
      </c>
      <c r="H58">
        <v>1.3543089903000001</v>
      </c>
      <c r="I58" t="s">
        <v>109</v>
      </c>
    </row>
    <row r="59" spans="1:9" ht="15">
      <c r="A59" s="10">
        <v>44166</v>
      </c>
      <c r="B59" s="47">
        <v>105.69</v>
      </c>
      <c r="C59" s="9">
        <v>36</v>
      </c>
      <c r="D59" s="9">
        <f t="shared" si="0"/>
        <v>1.3258937559320041</v>
      </c>
      <c r="E59">
        <v>36</v>
      </c>
      <c r="F59">
        <v>36</v>
      </c>
      <c r="G59">
        <v>1.3258937559999999</v>
      </c>
      <c r="H59">
        <v>1.4596512476000001</v>
      </c>
      <c r="I59" t="s">
        <v>235</v>
      </c>
    </row>
    <row r="60" spans="1:9" ht="15">
      <c r="A60" s="10">
        <v>44197</v>
      </c>
      <c r="B60" s="47">
        <v>106.083</v>
      </c>
      <c r="C60" s="9">
        <v>37</v>
      </c>
      <c r="D60" s="9">
        <f t="shared" si="0"/>
        <v>1.5935797125044306</v>
      </c>
      <c r="E60">
        <v>37</v>
      </c>
      <c r="F60">
        <v>37</v>
      </c>
      <c r="G60">
        <v>1.593579713</v>
      </c>
      <c r="H60">
        <v>1.5649935049999999</v>
      </c>
      <c r="I60" t="s">
        <v>236</v>
      </c>
    </row>
    <row r="61" spans="1:9" ht="15">
      <c r="A61" s="10">
        <v>44228</v>
      </c>
      <c r="B61" s="47">
        <v>106.471</v>
      </c>
      <c r="C61" s="9">
        <v>38</v>
      </c>
      <c r="D61" s="9">
        <f t="shared" si="0"/>
        <v>1.846165619230739</v>
      </c>
      <c r="E61">
        <v>38</v>
      </c>
      <c r="F61">
        <v>38</v>
      </c>
      <c r="G61">
        <v>1.846165619</v>
      </c>
      <c r="H61">
        <v>1.6703357622999999</v>
      </c>
      <c r="I61" t="s">
        <v>237</v>
      </c>
    </row>
    <row r="62" spans="1:9" ht="15">
      <c r="A62" s="16">
        <v>44256</v>
      </c>
      <c r="B62" s="47">
        <v>107.032</v>
      </c>
      <c r="C62" s="14">
        <v>39</v>
      </c>
      <c r="D62" s="14">
        <f t="shared" si="0"/>
        <v>2.6666155085753762</v>
      </c>
      <c r="E62">
        <v>39</v>
      </c>
      <c r="F62">
        <v>39</v>
      </c>
      <c r="G62">
        <v>2.6666155090000001</v>
      </c>
      <c r="H62">
        <v>2.9906219456000001</v>
      </c>
      <c r="I62" t="s">
        <v>238</v>
      </c>
    </row>
    <row r="63" spans="1:9" ht="15">
      <c r="A63" s="10">
        <v>44287</v>
      </c>
      <c r="B63" s="47">
        <v>107.63200000000001</v>
      </c>
      <c r="C63" s="9">
        <v>40</v>
      </c>
      <c r="D63" s="9">
        <f t="shared" si="0"/>
        <v>3.6747353516283576</v>
      </c>
      <c r="E63">
        <v>40</v>
      </c>
      <c r="F63">
        <v>40</v>
      </c>
      <c r="G63">
        <v>3.6747353519999999</v>
      </c>
      <c r="H63">
        <v>3.4240644095000001</v>
      </c>
      <c r="I63" t="s">
        <v>110</v>
      </c>
    </row>
    <row r="64" spans="1:9" ht="15">
      <c r="A64" s="10">
        <v>44317</v>
      </c>
      <c r="B64" s="47">
        <v>108.184</v>
      </c>
      <c r="C64" s="9">
        <v>41</v>
      </c>
      <c r="D64" s="9">
        <f t="shared" si="0"/>
        <v>4.1091671959504934</v>
      </c>
      <c r="E64">
        <v>41</v>
      </c>
      <c r="F64">
        <v>41</v>
      </c>
      <c r="G64">
        <v>4.1091671959999996</v>
      </c>
      <c r="H64">
        <v>3.8575068734000002</v>
      </c>
      <c r="I64" t="s">
        <v>239</v>
      </c>
    </row>
    <row r="65" spans="1:9" ht="15">
      <c r="A65" s="10">
        <v>44348</v>
      </c>
      <c r="B65" s="47">
        <v>108.748</v>
      </c>
      <c r="C65" s="9">
        <v>42</v>
      </c>
      <c r="D65" s="9">
        <f t="shared" si="0"/>
        <v>4.3316416106223556</v>
      </c>
      <c r="E65">
        <v>42</v>
      </c>
      <c r="F65">
        <v>42</v>
      </c>
      <c r="G65">
        <v>4.3316416110000002</v>
      </c>
      <c r="H65">
        <v>4.2909493372999998</v>
      </c>
      <c r="I65" t="s">
        <v>240</v>
      </c>
    </row>
    <row r="66" spans="1:9" ht="15">
      <c r="A66" s="10">
        <v>44378</v>
      </c>
      <c r="B66" s="47">
        <v>109.27500000000001</v>
      </c>
      <c r="C66" s="9">
        <v>43</v>
      </c>
      <c r="D66" s="9">
        <f t="shared" si="0"/>
        <v>4.5053746987491037</v>
      </c>
      <c r="E66">
        <v>43</v>
      </c>
      <c r="F66">
        <v>43</v>
      </c>
      <c r="G66">
        <v>4.5053746989999999</v>
      </c>
      <c r="H66">
        <v>4.7243918012000004</v>
      </c>
      <c r="I66" t="s">
        <v>241</v>
      </c>
    </row>
    <row r="67" spans="1:9" ht="15">
      <c r="A67" s="16">
        <v>44409</v>
      </c>
      <c r="B67" s="47">
        <v>109.72</v>
      </c>
      <c r="C67" s="14">
        <v>44</v>
      </c>
      <c r="D67" s="14">
        <f t="shared" si="0"/>
        <v>4.6078160305852949</v>
      </c>
      <c r="E67">
        <v>44</v>
      </c>
      <c r="F67">
        <v>44</v>
      </c>
      <c r="G67">
        <v>4.6078160309999996</v>
      </c>
      <c r="H67">
        <v>4.5053705653999998</v>
      </c>
      <c r="I67" t="s">
        <v>242</v>
      </c>
    </row>
    <row r="68" spans="1:9" ht="15">
      <c r="A68" s="10">
        <v>44440</v>
      </c>
      <c r="B68" s="47">
        <v>110.047</v>
      </c>
      <c r="C68" s="9">
        <v>45</v>
      </c>
      <c r="D68" s="9">
        <f t="shared" si="0"/>
        <v>4.7607714715457901</v>
      </c>
      <c r="E68">
        <v>45</v>
      </c>
      <c r="F68">
        <v>45</v>
      </c>
      <c r="G68">
        <v>4.7607714720000001</v>
      </c>
      <c r="H68">
        <v>4.9409002427999997</v>
      </c>
      <c r="I68" t="s">
        <v>243</v>
      </c>
    </row>
    <row r="69" spans="1:9" ht="15">
      <c r="A69" s="10">
        <v>44470</v>
      </c>
      <c r="B69" s="47">
        <v>110.741</v>
      </c>
      <c r="C69" s="9">
        <v>46</v>
      </c>
      <c r="D69" s="9">
        <f t="shared" si="0"/>
        <v>5.3612543527486585</v>
      </c>
      <c r="E69">
        <v>46</v>
      </c>
      <c r="F69">
        <v>46</v>
      </c>
      <c r="G69">
        <v>5.3612543529999996</v>
      </c>
      <c r="H69">
        <v>5.3764299201999997</v>
      </c>
      <c r="I69" t="s">
        <v>244</v>
      </c>
    </row>
    <row r="70" spans="1:9" ht="15">
      <c r="A70" s="10">
        <v>44501</v>
      </c>
      <c r="B70" s="47">
        <v>111.51</v>
      </c>
      <c r="C70" s="9">
        <v>47</v>
      </c>
      <c r="D70" s="9">
        <f t="shared" si="0"/>
        <v>5.9729151817533968</v>
      </c>
      <c r="E70">
        <v>47</v>
      </c>
      <c r="F70">
        <v>47</v>
      </c>
      <c r="G70">
        <v>5.9729151820000004</v>
      </c>
      <c r="H70">
        <v>5.8119595975999996</v>
      </c>
      <c r="I70" t="s">
        <v>245</v>
      </c>
    </row>
    <row r="71" spans="1:9" ht="15">
      <c r="A71" s="10">
        <v>44531</v>
      </c>
      <c r="B71" s="47">
        <v>112.221</v>
      </c>
      <c r="C71" s="9">
        <v>48</v>
      </c>
      <c r="D71" s="9">
        <f t="shared" si="0"/>
        <v>6.1793925631564068</v>
      </c>
      <c r="E71">
        <v>48</v>
      </c>
      <c r="F71">
        <v>48</v>
      </c>
      <c r="G71">
        <v>6.1793925630000004</v>
      </c>
      <c r="H71">
        <v>6.2474892750000004</v>
      </c>
      <c r="I71" t="s">
        <v>246</v>
      </c>
    </row>
    <row r="72" spans="1:9" ht="15">
      <c r="A72" s="16">
        <v>44562</v>
      </c>
      <c r="B72" s="47">
        <v>112.776</v>
      </c>
      <c r="C72" s="14">
        <v>49</v>
      </c>
      <c r="D72" s="14">
        <f t="shared" si="0"/>
        <v>6.3092107123667294</v>
      </c>
      <c r="E72">
        <v>49</v>
      </c>
      <c r="F72">
        <v>49</v>
      </c>
      <c r="G72">
        <v>6.3092107119999996</v>
      </c>
      <c r="H72">
        <v>6.4083166605999997</v>
      </c>
      <c r="I72" t="s">
        <v>247</v>
      </c>
    </row>
    <row r="73" spans="1:9" ht="15">
      <c r="A73" s="10">
        <v>44593</v>
      </c>
      <c r="B73" s="47">
        <v>113.489</v>
      </c>
      <c r="C73" s="9">
        <v>50</v>
      </c>
      <c r="D73" s="9">
        <f t="shared" si="0"/>
        <v>6.5914662208488703</v>
      </c>
      <c r="E73">
        <v>50</v>
      </c>
      <c r="F73">
        <v>50</v>
      </c>
      <c r="G73">
        <v>6.5914662210000001</v>
      </c>
      <c r="H73">
        <v>6.5529590067000001</v>
      </c>
      <c r="I73" t="s">
        <v>248</v>
      </c>
    </row>
    <row r="74" spans="1:9" ht="15">
      <c r="A74" s="10">
        <v>44621</v>
      </c>
      <c r="B74" s="47">
        <v>114.489</v>
      </c>
      <c r="C74" s="9">
        <v>51</v>
      </c>
      <c r="D74" s="9">
        <f t="shared" si="0"/>
        <v>6.9670752672098137</v>
      </c>
      <c r="E74">
        <v>51</v>
      </c>
      <c r="F74">
        <v>51</v>
      </c>
      <c r="G74">
        <v>6.9670752670000002</v>
      </c>
      <c r="H74">
        <v>6.6976013527999996</v>
      </c>
      <c r="I74" t="s">
        <v>249</v>
      </c>
    </row>
    <row r="75" spans="1:9" ht="15">
      <c r="A75" s="10">
        <v>44652</v>
      </c>
      <c r="B75" s="47">
        <v>114.845</v>
      </c>
      <c r="C75" s="9">
        <v>52</v>
      </c>
      <c r="D75" s="9">
        <f t="shared" si="0"/>
        <v>6.7015385758882058</v>
      </c>
      <c r="E75">
        <v>52</v>
      </c>
      <c r="F75">
        <v>52</v>
      </c>
      <c r="G75">
        <v>6.7015385759999999</v>
      </c>
      <c r="H75">
        <v>6.8422436988999999</v>
      </c>
      <c r="I75" t="s">
        <v>250</v>
      </c>
    </row>
    <row r="76" spans="1:9" ht="15">
      <c r="A76" s="10">
        <v>44682</v>
      </c>
      <c r="B76" s="47">
        <v>115.542</v>
      </c>
      <c r="C76" s="9">
        <v>53</v>
      </c>
      <c r="D76" s="9">
        <f t="shared" si="0"/>
        <v>6.8013754344450232</v>
      </c>
      <c r="E76">
        <v>53</v>
      </c>
      <c r="F76">
        <v>53</v>
      </c>
      <c r="G76">
        <v>6.8013754339999997</v>
      </c>
      <c r="H76">
        <v>6.9868860450000003</v>
      </c>
      <c r="I76" t="s">
        <v>251</v>
      </c>
    </row>
    <row r="77" spans="1:9" ht="15">
      <c r="A77" s="10">
        <v>44713</v>
      </c>
      <c r="B77" s="47">
        <v>116.631</v>
      </c>
      <c r="C77" s="9">
        <v>54</v>
      </c>
      <c r="D77" s="9">
        <f t="shared" si="0"/>
        <v>7.2488689447162198</v>
      </c>
      <c r="E77">
        <v>54</v>
      </c>
      <c r="F77">
        <v>54</v>
      </c>
      <c r="G77">
        <v>7.2488689449999999</v>
      </c>
      <c r="H77">
        <v>7.1315283909999998</v>
      </c>
      <c r="I77" t="s">
        <v>252</v>
      </c>
    </row>
    <row r="78" spans="1:9" ht="15">
      <c r="A78" s="16">
        <v>44743</v>
      </c>
      <c r="B78" s="47">
        <v>116.66200000000001</v>
      </c>
      <c r="C78" s="14">
        <v>55</v>
      </c>
      <c r="D78" s="14">
        <f t="shared" si="0"/>
        <v>6.7600091512239766</v>
      </c>
      <c r="E78">
        <v>55</v>
      </c>
      <c r="F78">
        <v>55</v>
      </c>
      <c r="G78">
        <v>6.7600091510000002</v>
      </c>
      <c r="H78">
        <v>6.9431297947999999</v>
      </c>
      <c r="I78" t="s">
        <v>253</v>
      </c>
    </row>
    <row r="79" spans="1:9" ht="15">
      <c r="A79" s="10">
        <v>44774</v>
      </c>
      <c r="B79" s="47">
        <v>117.002</v>
      </c>
      <c r="C79" s="9">
        <v>56</v>
      </c>
      <c r="D79" s="9">
        <f t="shared" si="0"/>
        <v>6.6368939117754246</v>
      </c>
      <c r="E79">
        <v>56</v>
      </c>
      <c r="F79">
        <v>56</v>
      </c>
      <c r="G79">
        <v>6.6368939119999997</v>
      </c>
      <c r="H79">
        <v>6.7013675118</v>
      </c>
      <c r="I79" t="s">
        <v>254</v>
      </c>
    </row>
    <row r="80" spans="1:9" ht="15">
      <c r="A80" s="10">
        <v>44805</v>
      </c>
      <c r="B80" s="47">
        <v>117.377</v>
      </c>
      <c r="C80" s="9">
        <v>57</v>
      </c>
      <c r="D80" s="9">
        <f t="shared" si="0"/>
        <v>6.6607903895608223</v>
      </c>
      <c r="E80">
        <v>57</v>
      </c>
      <c r="F80">
        <v>57</v>
      </c>
      <c r="G80">
        <v>6.6607903899999998</v>
      </c>
      <c r="H80">
        <v>6.4596052288000001</v>
      </c>
      <c r="I80" t="s">
        <v>255</v>
      </c>
    </row>
    <row r="81" spans="1:9" ht="15">
      <c r="A81" s="10">
        <v>44835</v>
      </c>
      <c r="B81" s="47">
        <v>117.89100000000001</v>
      </c>
      <c r="C81" s="9">
        <v>58</v>
      </c>
      <c r="D81" s="9">
        <f t="shared" si="0"/>
        <v>6.4565066235630937</v>
      </c>
      <c r="E81">
        <v>58</v>
      </c>
      <c r="F81">
        <v>58</v>
      </c>
      <c r="G81">
        <v>6.4565066240000002</v>
      </c>
      <c r="H81">
        <v>6.2178429458000002</v>
      </c>
      <c r="I81" t="s">
        <v>256</v>
      </c>
    </row>
    <row r="82" spans="1:9" ht="15">
      <c r="A82" s="10">
        <v>44866</v>
      </c>
      <c r="B82" s="47">
        <v>118.221</v>
      </c>
      <c r="C82" s="9">
        <v>59</v>
      </c>
      <c r="D82" s="9">
        <f t="shared" si="0"/>
        <v>6.0182943233790684</v>
      </c>
      <c r="E82">
        <v>59</v>
      </c>
      <c r="F82">
        <v>59</v>
      </c>
      <c r="G82">
        <v>6.0182943230000001</v>
      </c>
      <c r="H82">
        <v>5.9760806627000003</v>
      </c>
      <c r="I82" t="s">
        <v>257</v>
      </c>
    </row>
    <row r="83" spans="1:9" ht="15">
      <c r="A83" s="10">
        <v>44896</v>
      </c>
      <c r="B83" s="47">
        <v>118.40300000000001</v>
      </c>
      <c r="C83" s="9">
        <v>60</v>
      </c>
      <c r="D83" s="9">
        <f t="shared" si="0"/>
        <v>5.508772867823315</v>
      </c>
      <c r="E83">
        <v>60</v>
      </c>
      <c r="F83">
        <v>60</v>
      </c>
      <c r="G83">
        <v>5.5087728680000003</v>
      </c>
      <c r="H83">
        <v>5.7343183797000004</v>
      </c>
      <c r="I83" t="s">
        <v>258</v>
      </c>
    </row>
    <row r="84" spans="1:9" ht="15">
      <c r="A84" s="10">
        <v>44927</v>
      </c>
      <c r="B84" s="47">
        <v>119.00700000000001</v>
      </c>
      <c r="C84" s="9">
        <v>61</v>
      </c>
      <c r="D84" s="9">
        <f t="shared" si="0"/>
        <v>5.5251117258991354</v>
      </c>
      <c r="E84">
        <v>61</v>
      </c>
      <c r="F84">
        <v>61</v>
      </c>
      <c r="G84">
        <v>5.5251117259999996</v>
      </c>
      <c r="H84">
        <v>5.4925560966999996</v>
      </c>
      <c r="I84" t="s">
        <v>259</v>
      </c>
    </row>
    <row r="85" spans="1:9" ht="15">
      <c r="A85" s="10">
        <v>44958</v>
      </c>
      <c r="B85" s="47">
        <v>119.401</v>
      </c>
      <c r="C85" s="9">
        <v>62</v>
      </c>
      <c r="D85" s="9">
        <f t="shared" si="0"/>
        <v>5.2093154402629249</v>
      </c>
      <c r="E85">
        <v>62</v>
      </c>
      <c r="F85">
        <v>62</v>
      </c>
      <c r="G85">
        <v>5.2093154400000001</v>
      </c>
      <c r="H85">
        <v>5.2507938136999996</v>
      </c>
      <c r="I85" t="s">
        <v>260</v>
      </c>
    </row>
    <row r="86" spans="1:9" ht="15">
      <c r="A86" s="16">
        <v>44986</v>
      </c>
      <c r="B86" s="47">
        <v>119.553</v>
      </c>
      <c r="C86" s="14">
        <v>63</v>
      </c>
      <c r="D86" s="14">
        <f t="shared" si="0"/>
        <v>4.4231323533265146</v>
      </c>
      <c r="E86">
        <v>63</v>
      </c>
      <c r="F86">
        <v>63</v>
      </c>
      <c r="G86">
        <v>4.4231323529999997</v>
      </c>
      <c r="H86">
        <v>4.5600252061999997</v>
      </c>
      <c r="I86" t="s">
        <v>261</v>
      </c>
    </row>
    <row r="87" spans="1:9" ht="15">
      <c r="A87" s="10">
        <v>45017</v>
      </c>
      <c r="B87" s="47">
        <v>119.97</v>
      </c>
      <c r="C87" s="9">
        <v>64</v>
      </c>
      <c r="D87" s="9">
        <f t="shared" si="0"/>
        <v>4.4625364621881669</v>
      </c>
      <c r="E87">
        <v>64</v>
      </c>
      <c r="F87">
        <v>64</v>
      </c>
      <c r="G87">
        <v>4.4625364620000001</v>
      </c>
      <c r="H87">
        <v>4.2300717911000003</v>
      </c>
      <c r="I87" t="s">
        <v>262</v>
      </c>
    </row>
    <row r="88" spans="1:9" ht="15">
      <c r="A88" s="10">
        <v>45047</v>
      </c>
      <c r="B88" s="47">
        <v>120.14</v>
      </c>
      <c r="C88" s="9">
        <v>65</v>
      </c>
      <c r="D88" s="9">
        <f t="shared" si="0"/>
        <v>3.9795052881203361</v>
      </c>
      <c r="E88">
        <v>65</v>
      </c>
      <c r="F88">
        <v>65</v>
      </c>
      <c r="G88">
        <v>3.9795052879999999</v>
      </c>
      <c r="H88">
        <v>3.900118376</v>
      </c>
      <c r="I88" t="s">
        <v>263</v>
      </c>
    </row>
    <row r="89" spans="1:9" ht="15">
      <c r="A89" s="10">
        <v>45078</v>
      </c>
      <c r="B89" s="47">
        <v>120.435</v>
      </c>
      <c r="C89" s="9">
        <v>66</v>
      </c>
      <c r="D89" s="9">
        <f t="shared" si="0"/>
        <v>3.2615685366669256</v>
      </c>
      <c r="E89">
        <v>66</v>
      </c>
      <c r="F89">
        <v>66</v>
      </c>
      <c r="G89">
        <v>3.261568537</v>
      </c>
      <c r="H89">
        <v>3.5701649609000001</v>
      </c>
      <c r="I89" t="s">
        <v>264</v>
      </c>
    </row>
    <row r="90" spans="1:9" ht="15">
      <c r="A90" s="10">
        <v>45108</v>
      </c>
      <c r="B90" s="47">
        <v>120.598</v>
      </c>
      <c r="C90" s="9">
        <v>67</v>
      </c>
      <c r="D90" s="9">
        <f t="shared" ref="D90:D100" si="1">100*(B90-B78)/B78</f>
        <v>3.3738492396838669</v>
      </c>
      <c r="E90">
        <v>67</v>
      </c>
      <c r="F90">
        <v>67</v>
      </c>
      <c r="G90">
        <v>3.3738492400000002</v>
      </c>
      <c r="H90">
        <v>3.2402115457999998</v>
      </c>
      <c r="I90" t="s">
        <v>265</v>
      </c>
    </row>
    <row r="91" spans="1:9" ht="15">
      <c r="A91" s="16">
        <v>45139</v>
      </c>
      <c r="B91" s="47">
        <v>120.965</v>
      </c>
      <c r="C91" s="14">
        <v>68</v>
      </c>
      <c r="D91" s="14">
        <f t="shared" si="1"/>
        <v>3.3871215876651752</v>
      </c>
      <c r="E91">
        <v>68</v>
      </c>
      <c r="F91">
        <v>68</v>
      </c>
      <c r="G91">
        <v>3.3871215879999998</v>
      </c>
      <c r="H91">
        <v>3.4573101756</v>
      </c>
      <c r="I91" t="s">
        <v>266</v>
      </c>
    </row>
    <row r="92" spans="1:9" ht="15">
      <c r="A92" s="10">
        <v>45170</v>
      </c>
      <c r="B92" s="47">
        <v>121.387</v>
      </c>
      <c r="C92" s="9">
        <v>69</v>
      </c>
      <c r="D92" s="9">
        <f t="shared" si="1"/>
        <v>3.4163422135512111</v>
      </c>
      <c r="E92">
        <v>69</v>
      </c>
      <c r="F92">
        <v>69</v>
      </c>
      <c r="G92">
        <v>3.4163422140000002</v>
      </c>
      <c r="H92">
        <v>3.2487815328999998</v>
      </c>
      <c r="I92" t="s">
        <v>273</v>
      </c>
    </row>
    <row r="93" spans="1:9" ht="15">
      <c r="A93" s="10">
        <v>45200</v>
      </c>
      <c r="B93" s="47">
        <v>121.42100000000001</v>
      </c>
      <c r="C93" s="9">
        <v>70</v>
      </c>
      <c r="D93" s="9">
        <f t="shared" si="1"/>
        <v>2.9942913369129118</v>
      </c>
      <c r="E93">
        <v>70</v>
      </c>
      <c r="F93">
        <v>70</v>
      </c>
      <c r="G93">
        <v>2.9942913369999999</v>
      </c>
      <c r="H93">
        <v>3.0402528902000001</v>
      </c>
      <c r="I93" t="s">
        <v>274</v>
      </c>
    </row>
    <row r="94" spans="1:9" ht="15">
      <c r="A94" s="10">
        <v>45231</v>
      </c>
      <c r="B94" s="47">
        <v>121.41500000000001</v>
      </c>
      <c r="C94" s="9">
        <v>71</v>
      </c>
      <c r="D94" s="9">
        <f t="shared" si="1"/>
        <v>2.7017196606355913</v>
      </c>
      <c r="E94">
        <v>71</v>
      </c>
      <c r="F94">
        <v>71</v>
      </c>
      <c r="G94">
        <v>2.7017196609999998</v>
      </c>
      <c r="H94">
        <v>2.8317242475</v>
      </c>
      <c r="I94" t="s">
        <v>330</v>
      </c>
    </row>
    <row r="95" spans="1:9" ht="15">
      <c r="A95" s="10">
        <v>45261</v>
      </c>
      <c r="B95" s="47">
        <v>121.602</v>
      </c>
      <c r="C95" s="9">
        <v>72</v>
      </c>
      <c r="D95" s="9">
        <f t="shared" si="1"/>
        <v>2.7017896506000674</v>
      </c>
      <c r="E95">
        <v>72</v>
      </c>
      <c r="F95">
        <v>72</v>
      </c>
      <c r="G95">
        <v>2.7017896509999999</v>
      </c>
      <c r="H95">
        <v>2.6231956047999998</v>
      </c>
      <c r="I95" t="s">
        <v>331</v>
      </c>
    </row>
    <row r="96" spans="1:9" ht="15">
      <c r="A96" s="16">
        <v>45292</v>
      </c>
      <c r="B96" s="47">
        <v>122.11499999999999</v>
      </c>
      <c r="C96" s="14">
        <v>73</v>
      </c>
      <c r="D96" s="14">
        <f t="shared" si="1"/>
        <v>2.6116110817010676</v>
      </c>
      <c r="E96">
        <v>73</v>
      </c>
      <c r="F96">
        <v>73</v>
      </c>
      <c r="G96">
        <v>2.611611082</v>
      </c>
      <c r="H96">
        <v>2.7716413211000002</v>
      </c>
      <c r="I96" t="s">
        <v>332</v>
      </c>
    </row>
    <row r="97" spans="1:9" ht="15">
      <c r="A97" s="10">
        <v>45323</v>
      </c>
      <c r="B97" s="47">
        <v>122.494</v>
      </c>
      <c r="C97" s="9">
        <v>74</v>
      </c>
      <c r="D97" s="9">
        <f t="shared" si="1"/>
        <v>2.5904305659081612</v>
      </c>
      <c r="E97">
        <v>74</v>
      </c>
      <c r="F97">
        <v>74</v>
      </c>
      <c r="G97">
        <v>2.5904305660000002</v>
      </c>
      <c r="H97">
        <v>2.7062235499999998</v>
      </c>
      <c r="I97" t="s">
        <v>347</v>
      </c>
    </row>
    <row r="98" spans="1:9" ht="15">
      <c r="A98" s="10">
        <v>45352</v>
      </c>
      <c r="B98" s="47">
        <v>122.91200000000001</v>
      </c>
      <c r="C98" s="9">
        <v>75</v>
      </c>
      <c r="D98" s="9">
        <f t="shared" si="1"/>
        <v>2.8096325479076301</v>
      </c>
      <c r="E98">
        <v>75</v>
      </c>
      <c r="F98">
        <v>75</v>
      </c>
      <c r="G98">
        <v>2.8096325480000002</v>
      </c>
      <c r="H98">
        <v>2.6408057787999999</v>
      </c>
      <c r="I98" t="s">
        <v>348</v>
      </c>
    </row>
    <row r="99" spans="1:9" ht="15">
      <c r="A99" s="10">
        <v>45383</v>
      </c>
      <c r="B99" s="47">
        <v>123.23399999999999</v>
      </c>
      <c r="C99" s="9">
        <v>76</v>
      </c>
      <c r="D99" s="9">
        <f t="shared" si="1"/>
        <v>2.720680170042507</v>
      </c>
      <c r="E99">
        <v>76</v>
      </c>
      <c r="F99">
        <v>76</v>
      </c>
      <c r="G99">
        <v>2.7206801700000001</v>
      </c>
      <c r="H99">
        <v>2.5753880077</v>
      </c>
      <c r="I99" t="s">
        <v>349</v>
      </c>
    </row>
    <row r="100" spans="1:9" ht="15">
      <c r="A100" s="10">
        <v>45413</v>
      </c>
      <c r="B100" s="47">
        <v>123.224</v>
      </c>
      <c r="C100" s="9">
        <v>77</v>
      </c>
      <c r="D100" s="9">
        <f t="shared" si="1"/>
        <v>2.5670051606459157</v>
      </c>
      <c r="E100">
        <v>77</v>
      </c>
      <c r="F100">
        <v>77</v>
      </c>
      <c r="G100">
        <v>2.567005161</v>
      </c>
      <c r="H100">
        <v>2.5099702366000001</v>
      </c>
      <c r="I100" t="s">
        <v>350</v>
      </c>
    </row>
    <row r="101" spans="1:9" ht="15">
      <c r="A101" s="10">
        <v>45444</v>
      </c>
      <c r="B101" s="47">
        <v>123.369</v>
      </c>
      <c r="C101" s="9">
        <v>78</v>
      </c>
      <c r="D101" s="9">
        <f>100*(B101-B89)/B89</f>
        <v>2.4361688877817889</v>
      </c>
      <c r="E101">
        <v>78</v>
      </c>
      <c r="F101">
        <v>78</v>
      </c>
      <c r="G101">
        <v>2.4361688880000001</v>
      </c>
      <c r="H101">
        <v>2.4445524654000002</v>
      </c>
      <c r="I101" t="s">
        <v>351</v>
      </c>
    </row>
    <row r="102" spans="1:9" ht="15">
      <c r="A102" s="10">
        <v>45474</v>
      </c>
      <c r="B102" s="47">
        <v>123.575</v>
      </c>
      <c r="C102" s="9">
        <v>79</v>
      </c>
      <c r="D102" s="9">
        <f t="shared" ref="D102" si="2">100*(B102-B90)/B90</f>
        <v>2.4685318164480372</v>
      </c>
      <c r="E102">
        <v>79</v>
      </c>
      <c r="F102">
        <v>79</v>
      </c>
      <c r="G102">
        <v>2.468531816</v>
      </c>
      <c r="H102">
        <v>2.3791346942999998</v>
      </c>
    </row>
    <row r="103" spans="1:9" ht="15">
      <c r="A103" s="10">
        <v>45505</v>
      </c>
      <c r="B103" s="47">
        <v>123.727</v>
      </c>
      <c r="C103" s="9">
        <v>80</v>
      </c>
      <c r="D103" s="9">
        <f>100*(B103-B91)/B91</f>
        <v>2.2833050882486674</v>
      </c>
      <c r="E103">
        <v>80</v>
      </c>
      <c r="F103">
        <v>80</v>
      </c>
      <c r="G103">
        <v>2.2833050880000001</v>
      </c>
      <c r="H103">
        <v>2.3137169231999999</v>
      </c>
    </row>
    <row r="104" spans="1:9" ht="15">
      <c r="A104" s="10">
        <v>45536</v>
      </c>
      <c r="B104" s="47">
        <v>123.93899999999999</v>
      </c>
      <c r="C104" s="9">
        <v>81</v>
      </c>
      <c r="D104" s="9">
        <f t="shared" ref="D104" si="3">100*(B104-B92)/B92</f>
        <v>2.1023668102844559</v>
      </c>
      <c r="E104">
        <v>81</v>
      </c>
      <c r="F104">
        <v>81</v>
      </c>
      <c r="G104">
        <v>2.1023668099999999</v>
      </c>
      <c r="H104">
        <v>2.248299152</v>
      </c>
    </row>
    <row r="105" spans="1:9" ht="15">
      <c r="A105" s="16">
        <v>45566</v>
      </c>
      <c r="B105" s="47">
        <v>124.265</v>
      </c>
      <c r="C105" s="14">
        <v>82</v>
      </c>
      <c r="D105" s="14">
        <f t="shared" ref="D105:D111" si="4">100*(B105-B93)/B93</f>
        <v>2.3422636940891559</v>
      </c>
      <c r="E105">
        <v>82</v>
      </c>
      <c r="F105">
        <v>82</v>
      </c>
      <c r="G105">
        <v>2.3422636940000001</v>
      </c>
      <c r="H105">
        <v>2.5253663089999998</v>
      </c>
    </row>
    <row r="106" spans="1:9" ht="15">
      <c r="A106" s="10">
        <v>45597</v>
      </c>
      <c r="B106" s="47">
        <v>124.399</v>
      </c>
      <c r="C106" s="9">
        <v>83</v>
      </c>
      <c r="D106" s="9">
        <f t="shared" si="4"/>
        <v>2.4576864473088125</v>
      </c>
      <c r="E106">
        <v>83</v>
      </c>
      <c r="F106">
        <v>83</v>
      </c>
      <c r="G106">
        <v>2.4576864469999999</v>
      </c>
      <c r="H106">
        <v>2.4956662494000001</v>
      </c>
    </row>
    <row r="107" spans="1:9" ht="15">
      <c r="A107" s="10">
        <v>45627</v>
      </c>
      <c r="B107" s="47">
        <v>124.76900000000001</v>
      </c>
      <c r="C107" s="9">
        <v>84</v>
      </c>
      <c r="D107" s="9">
        <f t="shared" si="4"/>
        <v>2.6043979539810214</v>
      </c>
      <c r="E107">
        <v>84</v>
      </c>
      <c r="F107">
        <v>84</v>
      </c>
      <c r="G107">
        <v>2.604397954</v>
      </c>
      <c r="H107">
        <v>2.4659661897</v>
      </c>
    </row>
    <row r="108" spans="1:9" ht="15">
      <c r="A108" s="10">
        <v>45658</v>
      </c>
      <c r="B108" s="47">
        <v>125.218</v>
      </c>
      <c r="C108" s="9">
        <v>85</v>
      </c>
      <c r="D108" s="9">
        <f t="shared" si="4"/>
        <v>2.5410473733775611</v>
      </c>
      <c r="E108">
        <v>85</v>
      </c>
      <c r="F108">
        <v>85</v>
      </c>
      <c r="G108">
        <v>2.5410473730000001</v>
      </c>
      <c r="H108">
        <v>2.4362661299999999</v>
      </c>
    </row>
    <row r="109" spans="1:9" ht="15">
      <c r="A109" s="10">
        <v>45689</v>
      </c>
      <c r="B109" s="47">
        <v>125.739</v>
      </c>
      <c r="C109" s="9">
        <v>86</v>
      </c>
      <c r="D109" s="9">
        <f t="shared" si="4"/>
        <v>2.6491093441311446</v>
      </c>
      <c r="E109">
        <v>86</v>
      </c>
      <c r="F109">
        <v>86</v>
      </c>
      <c r="G109">
        <v>2.6491093440000002</v>
      </c>
      <c r="H109">
        <v>2.4065660702999998</v>
      </c>
    </row>
    <row r="110" spans="1:9" ht="15">
      <c r="A110" s="10">
        <v>45717</v>
      </c>
      <c r="B110" s="47">
        <v>125.754</v>
      </c>
      <c r="C110" s="9">
        <v>87</v>
      </c>
      <c r="D110" s="9">
        <f t="shared" si="4"/>
        <v>2.3122233793282989</v>
      </c>
      <c r="E110">
        <v>87</v>
      </c>
      <c r="F110">
        <v>87</v>
      </c>
      <c r="G110">
        <v>2.3122233790000002</v>
      </c>
      <c r="H110">
        <v>2.3768660106000001</v>
      </c>
      <c r="I110" s="31"/>
    </row>
    <row r="111" spans="1:9" ht="15">
      <c r="A111" s="10">
        <v>45748</v>
      </c>
      <c r="B111" s="47">
        <v>125.88</v>
      </c>
      <c r="C111" s="9">
        <v>88</v>
      </c>
      <c r="D111" s="9">
        <f t="shared" si="4"/>
        <v>2.1471347193144759</v>
      </c>
      <c r="E111">
        <v>88</v>
      </c>
      <c r="F111">
        <v>88</v>
      </c>
      <c r="G111">
        <v>2.1471347189999999</v>
      </c>
      <c r="H111">
        <v>2.347165951</v>
      </c>
      <c r="I111" s="31"/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0A4B-981C-4341-A31A-06C54AF22F8E}">
  <dimension ref="A1:I110"/>
  <sheetViews>
    <sheetView topLeftCell="A83" workbookViewId="0">
      <selection activeCell="D23" sqref="D23:I23"/>
    </sheetView>
  </sheetViews>
  <sheetFormatPr defaultRowHeight="13.2"/>
  <cols>
    <col min="1" max="1" width="11.6640625" customWidth="1"/>
    <col min="2" max="2" width="8.88671875" hidden="1" customWidth="1"/>
    <col min="3" max="3" width="0" hidden="1" customWidth="1"/>
  </cols>
  <sheetData>
    <row r="1" spans="1:3" s="38" customFormat="1">
      <c r="A1" s="38" t="s">
        <v>0</v>
      </c>
    </row>
    <row r="2" spans="1:3" s="38" customFormat="1">
      <c r="A2" s="38" t="s">
        <v>302</v>
      </c>
    </row>
    <row r="3" spans="1:3" s="38" customFormat="1">
      <c r="A3" s="38" t="s">
        <v>2</v>
      </c>
    </row>
    <row r="4" spans="1:3" s="38" customFormat="1">
      <c r="A4" s="38" t="s">
        <v>3</v>
      </c>
    </row>
    <row r="5" spans="1:3" s="38" customFormat="1">
      <c r="A5" s="38" t="s">
        <v>303</v>
      </c>
    </row>
    <row r="6" spans="1:3" s="38" customFormat="1">
      <c r="A6" s="38" t="s">
        <v>327</v>
      </c>
    </row>
    <row r="7" spans="1:3" s="38" customFormat="1"/>
    <row r="8" spans="1:3" s="38" customFormat="1">
      <c r="A8" s="38" t="s">
        <v>6</v>
      </c>
      <c r="B8" s="38" t="s">
        <v>7</v>
      </c>
      <c r="C8" s="38" t="s">
        <v>328</v>
      </c>
    </row>
    <row r="11" spans="1:3" ht="15">
      <c r="A11" s="46" t="s">
        <v>9</v>
      </c>
      <c r="B11" s="46" t="s">
        <v>6</v>
      </c>
    </row>
    <row r="12" spans="1:3">
      <c r="A12" s="32">
        <v>42736</v>
      </c>
      <c r="B12" s="33">
        <v>99.450999999999993</v>
      </c>
    </row>
    <row r="13" spans="1:3">
      <c r="A13" s="32">
        <v>42767</v>
      </c>
      <c r="B13" s="33">
        <v>99.585999999999999</v>
      </c>
    </row>
    <row r="14" spans="1:3">
      <c r="A14" s="32">
        <v>42795</v>
      </c>
      <c r="B14" s="33">
        <v>99.534999999999997</v>
      </c>
    </row>
    <row r="15" spans="1:3">
      <c r="A15" s="32">
        <v>42826</v>
      </c>
      <c r="B15" s="33">
        <v>99.724999999999994</v>
      </c>
    </row>
    <row r="16" spans="1:3">
      <c r="A16" s="32">
        <v>42856</v>
      </c>
      <c r="B16" s="33">
        <v>99.682000000000002</v>
      </c>
    </row>
    <row r="17" spans="1:9">
      <c r="A17" s="32">
        <v>42887</v>
      </c>
      <c r="B17" s="33">
        <v>99.766000000000005</v>
      </c>
    </row>
    <row r="18" spans="1:9">
      <c r="A18" s="32">
        <v>42917</v>
      </c>
      <c r="B18" s="33">
        <v>99.802999999999997</v>
      </c>
    </row>
    <row r="19" spans="1:9">
      <c r="A19" s="32">
        <v>42948</v>
      </c>
      <c r="B19" s="33">
        <v>100.027</v>
      </c>
    </row>
    <row r="20" spans="1:9">
      <c r="A20" s="32">
        <v>42979</v>
      </c>
      <c r="B20" s="33">
        <v>100.4</v>
      </c>
    </row>
    <row r="21" spans="1:9">
      <c r="A21" s="32">
        <v>43009</v>
      </c>
      <c r="B21" s="33">
        <v>100.53100000000001</v>
      </c>
    </row>
    <row r="22" spans="1:9">
      <c r="A22" s="32">
        <v>43040</v>
      </c>
      <c r="B22" s="33">
        <v>100.675</v>
      </c>
    </row>
    <row r="23" spans="1:9" ht="13.8">
      <c r="A23" s="32">
        <v>43070</v>
      </c>
      <c r="B23" s="33">
        <v>100.821</v>
      </c>
      <c r="D23" s="77" t="s">
        <v>491</v>
      </c>
      <c r="E23" s="31" t="s">
        <v>490</v>
      </c>
      <c r="F23" s="77" t="s">
        <v>491</v>
      </c>
      <c r="G23" s="77" t="s">
        <v>491</v>
      </c>
      <c r="H23" s="31" t="s">
        <v>490</v>
      </c>
      <c r="I23" s="78" t="s">
        <v>492</v>
      </c>
    </row>
    <row r="24" spans="1:9" ht="13.8">
      <c r="A24" s="10">
        <v>43101</v>
      </c>
      <c r="B24" s="33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>
      <c r="A25" s="10">
        <v>43132</v>
      </c>
      <c r="B25" s="33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329</v>
      </c>
    </row>
    <row r="26" spans="1:9">
      <c r="A26" s="10">
        <v>43160</v>
      </c>
      <c r="B26" s="33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10">
        <v>43191</v>
      </c>
      <c r="B27" s="33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10">
        <v>43221</v>
      </c>
      <c r="B28" s="33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16">
        <v>43252</v>
      </c>
      <c r="B29" s="33">
        <v>102.029</v>
      </c>
      <c r="C29" s="14">
        <v>6</v>
      </c>
      <c r="D29" s="14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>
      <c r="A30" s="10">
        <v>43282</v>
      </c>
      <c r="B30" s="33">
        <v>102.137</v>
      </c>
      <c r="C30" s="9">
        <v>7</v>
      </c>
      <c r="D30" s="9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10">
        <v>43313</v>
      </c>
      <c r="B31" s="33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10">
        <v>43344</v>
      </c>
      <c r="B32" s="33">
        <v>102.41800000000001</v>
      </c>
      <c r="C32" s="9">
        <v>9</v>
      </c>
      <c r="D32" s="9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10">
        <v>43374</v>
      </c>
      <c r="B33" s="33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10">
        <v>43405</v>
      </c>
      <c r="B34" s="33">
        <v>102.63</v>
      </c>
      <c r="C34" s="9">
        <v>11</v>
      </c>
      <c r="D34" s="9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10">
        <v>43435</v>
      </c>
      <c r="B35" s="33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16">
        <v>43466</v>
      </c>
      <c r="B36" s="33">
        <v>102.648</v>
      </c>
      <c r="C36" s="14">
        <v>13</v>
      </c>
      <c r="D36" s="14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>
      <c r="A37" s="10">
        <v>43497</v>
      </c>
      <c r="B37" s="33">
        <v>102.836</v>
      </c>
      <c r="C37" s="9">
        <v>14</v>
      </c>
      <c r="D37" s="9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>
      <c r="A38" s="10">
        <v>43525</v>
      </c>
      <c r="B38" s="33">
        <v>103.069</v>
      </c>
      <c r="C38" s="9">
        <v>15</v>
      </c>
      <c r="D38" s="9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>
      <c r="A39" s="10">
        <v>43556</v>
      </c>
      <c r="B39" s="33">
        <v>103.36</v>
      </c>
      <c r="C39" s="9">
        <v>16</v>
      </c>
      <c r="D39" s="9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>
      <c r="A40" s="10">
        <v>43586</v>
      </c>
      <c r="B40" s="33">
        <v>103.435</v>
      </c>
      <c r="C40" s="9">
        <v>17</v>
      </c>
      <c r="D40" s="9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>
      <c r="A41" s="16">
        <v>43617</v>
      </c>
      <c r="B41" s="33">
        <v>103.48399999999999</v>
      </c>
      <c r="C41" s="14">
        <v>18</v>
      </c>
      <c r="D41" s="14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>
      <c r="A42" s="10">
        <v>43647</v>
      </c>
      <c r="B42" s="33">
        <v>103.622</v>
      </c>
      <c r="C42" s="9">
        <v>19</v>
      </c>
      <c r="D42" s="9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>
      <c r="A43" s="10">
        <v>43678</v>
      </c>
      <c r="B43" s="33">
        <v>103.67</v>
      </c>
      <c r="C43" s="9">
        <v>20</v>
      </c>
      <c r="D43" s="9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>
      <c r="A44" s="10">
        <v>43709</v>
      </c>
      <c r="B44" s="33">
        <v>103.733</v>
      </c>
      <c r="C44" s="9">
        <v>21</v>
      </c>
      <c r="D44" s="9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>
      <c r="A45" s="10">
        <v>43739</v>
      </c>
      <c r="B45" s="33">
        <v>103.917</v>
      </c>
      <c r="C45" s="9">
        <v>22</v>
      </c>
      <c r="D45" s="9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>
      <c r="A46" s="16">
        <v>43770</v>
      </c>
      <c r="B46" s="33">
        <v>104.024</v>
      </c>
      <c r="C46" s="14">
        <v>23</v>
      </c>
      <c r="D46" s="14">
        <f t="shared" si="0"/>
        <v>1.3582773068303668</v>
      </c>
      <c r="E46">
        <v>23</v>
      </c>
      <c r="F46">
        <v>23</v>
      </c>
      <c r="G46">
        <v>1.358277307</v>
      </c>
      <c r="H46">
        <v>1.7312877777</v>
      </c>
      <c r="I46" t="s">
        <v>223</v>
      </c>
    </row>
    <row r="47" spans="1:9">
      <c r="A47" s="10">
        <v>43800</v>
      </c>
      <c r="B47" s="33">
        <v>104.307</v>
      </c>
      <c r="C47" s="9">
        <v>24</v>
      </c>
      <c r="D47" s="9">
        <f t="shared" si="0"/>
        <v>1.5637627676458932</v>
      </c>
      <c r="E47">
        <v>24</v>
      </c>
      <c r="F47">
        <v>24</v>
      </c>
      <c r="G47">
        <v>1.5637627679999999</v>
      </c>
      <c r="H47">
        <v>1.5609958544</v>
      </c>
      <c r="I47" t="s">
        <v>224</v>
      </c>
    </row>
    <row r="48" spans="1:9">
      <c r="A48" s="10">
        <v>43831</v>
      </c>
      <c r="B48" s="33">
        <v>104.419</v>
      </c>
      <c r="C48" s="9">
        <v>25</v>
      </c>
      <c r="D48" s="9">
        <f t="shared" si="0"/>
        <v>1.7253136933988007</v>
      </c>
      <c r="E48">
        <v>25</v>
      </c>
      <c r="F48">
        <v>25</v>
      </c>
      <c r="G48">
        <v>1.7253136929999999</v>
      </c>
      <c r="H48">
        <v>1.3907039311</v>
      </c>
      <c r="I48" t="s">
        <v>225</v>
      </c>
    </row>
    <row r="49" spans="1:9">
      <c r="A49" s="10">
        <v>43862</v>
      </c>
      <c r="B49" s="33">
        <v>104.541</v>
      </c>
      <c r="C49" s="9">
        <v>26</v>
      </c>
      <c r="D49" s="9">
        <f t="shared" si="0"/>
        <v>1.6579796958263626</v>
      </c>
      <c r="E49">
        <v>26</v>
      </c>
      <c r="F49">
        <v>26</v>
      </c>
      <c r="G49">
        <v>1.6579796959999999</v>
      </c>
      <c r="H49">
        <v>1.2204120079</v>
      </c>
      <c r="I49" t="s">
        <v>226</v>
      </c>
    </row>
    <row r="50" spans="1:9">
      <c r="A50" s="10">
        <v>43891</v>
      </c>
      <c r="B50" s="33">
        <v>104.252</v>
      </c>
      <c r="C50" s="9">
        <v>27</v>
      </c>
      <c r="D50" s="9">
        <f t="shared" si="0"/>
        <v>1.1477747916444252</v>
      </c>
      <c r="E50">
        <v>27</v>
      </c>
      <c r="F50">
        <v>27</v>
      </c>
      <c r="G50">
        <v>1.1477747920000001</v>
      </c>
      <c r="H50">
        <v>1.0501200846000001</v>
      </c>
      <c r="I50" t="s">
        <v>227</v>
      </c>
    </row>
    <row r="51" spans="1:9">
      <c r="A51" s="10">
        <v>43922</v>
      </c>
      <c r="B51" s="33">
        <v>103.81699999999999</v>
      </c>
      <c r="C51" s="9">
        <v>28</v>
      </c>
      <c r="D51" s="9">
        <f t="shared" si="0"/>
        <v>0.44214396284829105</v>
      </c>
      <c r="E51">
        <v>28</v>
      </c>
      <c r="F51">
        <v>28</v>
      </c>
      <c r="G51">
        <v>0.44214396299999997</v>
      </c>
      <c r="H51">
        <v>0.87982816139999998</v>
      </c>
      <c r="I51" t="s">
        <v>228</v>
      </c>
    </row>
    <row r="52" spans="1:9">
      <c r="A52" s="10">
        <v>43952</v>
      </c>
      <c r="B52" s="33">
        <v>103.914</v>
      </c>
      <c r="C52" s="9">
        <v>29</v>
      </c>
      <c r="D52" s="9">
        <f t="shared" si="0"/>
        <v>0.46309276357132423</v>
      </c>
      <c r="E52">
        <v>29</v>
      </c>
      <c r="F52">
        <v>29</v>
      </c>
      <c r="G52">
        <v>0.46309276399999999</v>
      </c>
      <c r="H52">
        <v>0.70953623809999999</v>
      </c>
      <c r="I52" t="s">
        <v>229</v>
      </c>
    </row>
    <row r="53" spans="1:9">
      <c r="A53" s="10">
        <v>43983</v>
      </c>
      <c r="B53" s="33">
        <v>104.233</v>
      </c>
      <c r="C53" s="9">
        <v>30</v>
      </c>
      <c r="D53" s="9">
        <f t="shared" si="0"/>
        <v>0.7237833868037663</v>
      </c>
      <c r="E53">
        <v>30</v>
      </c>
      <c r="F53">
        <v>30</v>
      </c>
      <c r="G53">
        <v>0.723783387</v>
      </c>
      <c r="H53">
        <v>0.53924431480000001</v>
      </c>
      <c r="I53" t="s">
        <v>230</v>
      </c>
    </row>
    <row r="54" spans="1:9">
      <c r="A54" s="16">
        <v>44013</v>
      </c>
      <c r="B54" s="33">
        <v>104.56399999999999</v>
      </c>
      <c r="C54" s="14">
        <v>31</v>
      </c>
      <c r="D54" s="14">
        <f t="shared" si="0"/>
        <v>0.90907336279939888</v>
      </c>
      <c r="E54">
        <v>31</v>
      </c>
      <c r="F54">
        <v>31</v>
      </c>
      <c r="G54">
        <v>0.90907336299999997</v>
      </c>
      <c r="H54">
        <v>0.93293996089999998</v>
      </c>
      <c r="I54" t="s">
        <v>231</v>
      </c>
    </row>
    <row r="55" spans="1:9">
      <c r="A55" s="10">
        <v>44044</v>
      </c>
      <c r="B55" s="33">
        <v>104.887</v>
      </c>
      <c r="C55" s="9">
        <v>32</v>
      </c>
      <c r="D55" s="9">
        <f t="shared" si="0"/>
        <v>1.1739172373878641</v>
      </c>
      <c r="E55">
        <v>32</v>
      </c>
      <c r="F55">
        <v>32</v>
      </c>
      <c r="G55">
        <v>1.1739172369999999</v>
      </c>
      <c r="H55">
        <v>1.0382822183</v>
      </c>
      <c r="I55" t="s">
        <v>232</v>
      </c>
    </row>
    <row r="56" spans="1:9">
      <c r="A56" s="10">
        <v>44075</v>
      </c>
      <c r="B56" s="33">
        <v>105.04600000000001</v>
      </c>
      <c r="C56" s="9">
        <v>33</v>
      </c>
      <c r="D56" s="9">
        <f t="shared" si="0"/>
        <v>1.2657495686040146</v>
      </c>
      <c r="E56">
        <v>33</v>
      </c>
      <c r="F56">
        <v>33</v>
      </c>
      <c r="G56">
        <v>1.265749569</v>
      </c>
      <c r="H56">
        <v>1.1436244756</v>
      </c>
      <c r="I56" t="s">
        <v>233</v>
      </c>
    </row>
    <row r="57" spans="1:9">
      <c r="A57" s="10">
        <v>44105</v>
      </c>
      <c r="B57" s="33">
        <v>105.10599999999999</v>
      </c>
      <c r="C57" s="9">
        <v>34</v>
      </c>
      <c r="D57" s="9">
        <f t="shared" si="0"/>
        <v>1.144182376319556</v>
      </c>
      <c r="E57">
        <v>34</v>
      </c>
      <c r="F57">
        <v>34</v>
      </c>
      <c r="G57">
        <v>1.1441823760000001</v>
      </c>
      <c r="H57">
        <v>1.2489667330000001</v>
      </c>
      <c r="I57" t="s">
        <v>234</v>
      </c>
    </row>
    <row r="58" spans="1:9">
      <c r="A58" s="10">
        <v>44136</v>
      </c>
      <c r="B58" s="33">
        <v>105.22499999999999</v>
      </c>
      <c r="C58" s="9">
        <v>35</v>
      </c>
      <c r="D58" s="9">
        <f t="shared" si="0"/>
        <v>1.1545412597092914</v>
      </c>
      <c r="E58">
        <v>35</v>
      </c>
      <c r="F58">
        <v>35</v>
      </c>
      <c r="G58">
        <v>1.15454126</v>
      </c>
      <c r="H58">
        <v>1.3543089903000001</v>
      </c>
      <c r="I58" t="s">
        <v>109</v>
      </c>
    </row>
    <row r="59" spans="1:9">
      <c r="A59" s="10">
        <v>44166</v>
      </c>
      <c r="B59" s="33">
        <v>105.69</v>
      </c>
      <c r="C59" s="9">
        <v>36</v>
      </c>
      <c r="D59" s="9">
        <f t="shared" si="0"/>
        <v>1.3258937559320041</v>
      </c>
      <c r="E59">
        <v>36</v>
      </c>
      <c r="F59">
        <v>36</v>
      </c>
      <c r="G59">
        <v>1.3258937559999999</v>
      </c>
      <c r="H59">
        <v>1.4596512476000001</v>
      </c>
      <c r="I59" t="s">
        <v>235</v>
      </c>
    </row>
    <row r="60" spans="1:9">
      <c r="A60" s="10">
        <v>44197</v>
      </c>
      <c r="B60" s="33">
        <v>106.083</v>
      </c>
      <c r="C60" s="9">
        <v>37</v>
      </c>
      <c r="D60" s="9">
        <f t="shared" si="0"/>
        <v>1.5935797125044306</v>
      </c>
      <c r="E60">
        <v>37</v>
      </c>
      <c r="F60">
        <v>37</v>
      </c>
      <c r="G60">
        <v>1.593579713</v>
      </c>
      <c r="H60">
        <v>1.5649935049999999</v>
      </c>
      <c r="I60" t="s">
        <v>236</v>
      </c>
    </row>
    <row r="61" spans="1:9">
      <c r="A61" s="10">
        <v>44228</v>
      </c>
      <c r="B61" s="33">
        <v>106.471</v>
      </c>
      <c r="C61" s="9">
        <v>38</v>
      </c>
      <c r="D61" s="9">
        <f t="shared" si="0"/>
        <v>1.846165619230739</v>
      </c>
      <c r="E61">
        <v>38</v>
      </c>
      <c r="F61">
        <v>38</v>
      </c>
      <c r="G61">
        <v>1.846165619</v>
      </c>
      <c r="H61">
        <v>1.6703357622999999</v>
      </c>
      <c r="I61" t="s">
        <v>237</v>
      </c>
    </row>
    <row r="62" spans="1:9">
      <c r="A62" s="16">
        <v>44256</v>
      </c>
      <c r="B62" s="33">
        <v>107.032</v>
      </c>
      <c r="C62" s="14">
        <v>39</v>
      </c>
      <c r="D62" s="14">
        <f t="shared" si="0"/>
        <v>2.6666155085753762</v>
      </c>
      <c r="E62">
        <v>39</v>
      </c>
      <c r="F62">
        <v>39</v>
      </c>
      <c r="G62">
        <v>2.6666155090000001</v>
      </c>
      <c r="H62">
        <v>2.9906219456000001</v>
      </c>
      <c r="I62" t="s">
        <v>238</v>
      </c>
    </row>
    <row r="63" spans="1:9">
      <c r="A63" s="10">
        <v>44287</v>
      </c>
      <c r="B63" s="33">
        <v>107.63200000000001</v>
      </c>
      <c r="C63" s="9">
        <v>40</v>
      </c>
      <c r="D63" s="9">
        <f t="shared" si="0"/>
        <v>3.6747353516283576</v>
      </c>
      <c r="E63">
        <v>40</v>
      </c>
      <c r="F63">
        <v>40</v>
      </c>
      <c r="G63">
        <v>3.6747353519999999</v>
      </c>
      <c r="H63">
        <v>3.4240644095000001</v>
      </c>
      <c r="I63" t="s">
        <v>110</v>
      </c>
    </row>
    <row r="64" spans="1:9">
      <c r="A64" s="10">
        <v>44317</v>
      </c>
      <c r="B64" s="33">
        <v>108.184</v>
      </c>
      <c r="C64" s="9">
        <v>41</v>
      </c>
      <c r="D64" s="9">
        <f t="shared" si="0"/>
        <v>4.1091671959504934</v>
      </c>
      <c r="E64">
        <v>41</v>
      </c>
      <c r="F64">
        <v>41</v>
      </c>
      <c r="G64">
        <v>4.1091671959999996</v>
      </c>
      <c r="H64">
        <v>3.8575068734000002</v>
      </c>
      <c r="I64" t="s">
        <v>239</v>
      </c>
    </row>
    <row r="65" spans="1:9">
      <c r="A65" s="10">
        <v>44348</v>
      </c>
      <c r="B65" s="33">
        <v>108.748</v>
      </c>
      <c r="C65" s="9">
        <v>42</v>
      </c>
      <c r="D65" s="9">
        <f t="shared" si="0"/>
        <v>4.3316416106223556</v>
      </c>
      <c r="E65">
        <v>42</v>
      </c>
      <c r="F65">
        <v>42</v>
      </c>
      <c r="G65">
        <v>4.3316416110000002</v>
      </c>
      <c r="H65">
        <v>4.2909493372999998</v>
      </c>
      <c r="I65" t="s">
        <v>240</v>
      </c>
    </row>
    <row r="66" spans="1:9">
      <c r="A66" s="10">
        <v>44378</v>
      </c>
      <c r="B66" s="33">
        <v>109.27500000000001</v>
      </c>
      <c r="C66" s="9">
        <v>43</v>
      </c>
      <c r="D66" s="9">
        <f t="shared" si="0"/>
        <v>4.5053746987491037</v>
      </c>
      <c r="E66">
        <v>43</v>
      </c>
      <c r="F66">
        <v>43</v>
      </c>
      <c r="G66">
        <v>4.5053746989999999</v>
      </c>
      <c r="H66">
        <v>4.7243918012000004</v>
      </c>
      <c r="I66" t="s">
        <v>241</v>
      </c>
    </row>
    <row r="67" spans="1:9">
      <c r="A67" s="16">
        <v>44409</v>
      </c>
      <c r="B67" s="33">
        <v>109.72</v>
      </c>
      <c r="C67" s="14">
        <v>44</v>
      </c>
      <c r="D67" s="14">
        <f t="shared" si="0"/>
        <v>4.6078160305852949</v>
      </c>
      <c r="E67">
        <v>44</v>
      </c>
      <c r="F67">
        <v>44</v>
      </c>
      <c r="G67">
        <v>4.6078160309999996</v>
      </c>
      <c r="H67">
        <v>4.5053705653999998</v>
      </c>
      <c r="I67" t="s">
        <v>242</v>
      </c>
    </row>
    <row r="68" spans="1:9">
      <c r="A68" s="10">
        <v>44440</v>
      </c>
      <c r="B68" s="33">
        <v>110.047</v>
      </c>
      <c r="C68" s="9">
        <v>45</v>
      </c>
      <c r="D68" s="9">
        <f t="shared" si="0"/>
        <v>4.7607714715457901</v>
      </c>
      <c r="E68">
        <v>45</v>
      </c>
      <c r="F68">
        <v>45</v>
      </c>
      <c r="G68">
        <v>4.7607714720000001</v>
      </c>
      <c r="H68">
        <v>4.9409002427999997</v>
      </c>
      <c r="I68" t="s">
        <v>243</v>
      </c>
    </row>
    <row r="69" spans="1:9">
      <c r="A69" s="10">
        <v>44470</v>
      </c>
      <c r="B69" s="33">
        <v>110.741</v>
      </c>
      <c r="C69" s="9">
        <v>46</v>
      </c>
      <c r="D69" s="9">
        <f t="shared" si="0"/>
        <v>5.3612543527486585</v>
      </c>
      <c r="E69">
        <v>46</v>
      </c>
      <c r="F69">
        <v>46</v>
      </c>
      <c r="G69">
        <v>5.3612543529999996</v>
      </c>
      <c r="H69">
        <v>5.3764299201999997</v>
      </c>
      <c r="I69" t="s">
        <v>244</v>
      </c>
    </row>
    <row r="70" spans="1:9">
      <c r="A70" s="10">
        <v>44501</v>
      </c>
      <c r="B70" s="33">
        <v>111.51</v>
      </c>
      <c r="C70" s="9">
        <v>47</v>
      </c>
      <c r="D70" s="9">
        <f t="shared" si="0"/>
        <v>5.9729151817533968</v>
      </c>
      <c r="E70">
        <v>47</v>
      </c>
      <c r="F70">
        <v>47</v>
      </c>
      <c r="G70">
        <v>5.9729151820000004</v>
      </c>
      <c r="H70">
        <v>5.8119595975999996</v>
      </c>
      <c r="I70" t="s">
        <v>245</v>
      </c>
    </row>
    <row r="71" spans="1:9">
      <c r="A71" s="10">
        <v>44531</v>
      </c>
      <c r="B71" s="33">
        <v>112.221</v>
      </c>
      <c r="C71" s="9">
        <v>48</v>
      </c>
      <c r="D71" s="9">
        <f t="shared" si="0"/>
        <v>6.1793925631564068</v>
      </c>
      <c r="E71">
        <v>48</v>
      </c>
      <c r="F71">
        <v>48</v>
      </c>
      <c r="G71">
        <v>6.1793925630000004</v>
      </c>
      <c r="H71">
        <v>6.2474892750000004</v>
      </c>
      <c r="I71" t="s">
        <v>246</v>
      </c>
    </row>
    <row r="72" spans="1:9">
      <c r="A72" s="16">
        <v>44562</v>
      </c>
      <c r="B72" s="33">
        <v>112.776</v>
      </c>
      <c r="C72" s="14">
        <v>49</v>
      </c>
      <c r="D72" s="14">
        <f t="shared" si="0"/>
        <v>6.3092107123667294</v>
      </c>
      <c r="E72">
        <v>49</v>
      </c>
      <c r="F72">
        <v>49</v>
      </c>
      <c r="G72">
        <v>6.3092107119999996</v>
      </c>
      <c r="H72">
        <v>6.4083166605999997</v>
      </c>
      <c r="I72" t="s">
        <v>247</v>
      </c>
    </row>
    <row r="73" spans="1:9">
      <c r="A73" s="10">
        <v>44593</v>
      </c>
      <c r="B73" s="33">
        <v>113.489</v>
      </c>
      <c r="C73" s="9">
        <v>50</v>
      </c>
      <c r="D73" s="9">
        <f t="shared" si="0"/>
        <v>6.5914662208488703</v>
      </c>
      <c r="E73">
        <v>50</v>
      </c>
      <c r="F73">
        <v>50</v>
      </c>
      <c r="G73">
        <v>6.5914662210000001</v>
      </c>
      <c r="H73">
        <v>6.5529590067000001</v>
      </c>
      <c r="I73" t="s">
        <v>248</v>
      </c>
    </row>
    <row r="74" spans="1:9">
      <c r="A74" s="10">
        <v>44621</v>
      </c>
      <c r="B74" s="33">
        <v>114.489</v>
      </c>
      <c r="C74" s="9">
        <v>51</v>
      </c>
      <c r="D74" s="9">
        <f t="shared" si="0"/>
        <v>6.9670752672098137</v>
      </c>
      <c r="E74">
        <v>51</v>
      </c>
      <c r="F74">
        <v>51</v>
      </c>
      <c r="G74">
        <v>6.9670752670000002</v>
      </c>
      <c r="H74">
        <v>6.6976013527999996</v>
      </c>
      <c r="I74" t="s">
        <v>249</v>
      </c>
    </row>
    <row r="75" spans="1:9">
      <c r="A75" s="10">
        <v>44652</v>
      </c>
      <c r="B75" s="33">
        <v>114.845</v>
      </c>
      <c r="C75" s="9">
        <v>52</v>
      </c>
      <c r="D75" s="9">
        <f t="shared" si="0"/>
        <v>6.7015385758882058</v>
      </c>
      <c r="E75">
        <v>52</v>
      </c>
      <c r="F75">
        <v>52</v>
      </c>
      <c r="G75">
        <v>6.7015385759999999</v>
      </c>
      <c r="H75">
        <v>6.8422436988999999</v>
      </c>
      <c r="I75" t="s">
        <v>250</v>
      </c>
    </row>
    <row r="76" spans="1:9">
      <c r="A76" s="10">
        <v>44682</v>
      </c>
      <c r="B76" s="33">
        <v>115.542</v>
      </c>
      <c r="C76" s="9">
        <v>53</v>
      </c>
      <c r="D76" s="9">
        <f t="shared" si="0"/>
        <v>6.8013754344450232</v>
      </c>
      <c r="E76">
        <v>53</v>
      </c>
      <c r="F76">
        <v>53</v>
      </c>
      <c r="G76">
        <v>6.8013754339999997</v>
      </c>
      <c r="H76">
        <v>6.9868860450000003</v>
      </c>
      <c r="I76" t="s">
        <v>251</v>
      </c>
    </row>
    <row r="77" spans="1:9">
      <c r="A77" s="10">
        <v>44713</v>
      </c>
      <c r="B77" s="33">
        <v>116.631</v>
      </c>
      <c r="C77" s="9">
        <v>54</v>
      </c>
      <c r="D77" s="9">
        <f t="shared" si="0"/>
        <v>7.2488689447162198</v>
      </c>
      <c r="E77">
        <v>54</v>
      </c>
      <c r="F77">
        <v>54</v>
      </c>
      <c r="G77">
        <v>7.2488689449999999</v>
      </c>
      <c r="H77">
        <v>7.1315283909999998</v>
      </c>
      <c r="I77" t="s">
        <v>252</v>
      </c>
    </row>
    <row r="78" spans="1:9">
      <c r="A78" s="16">
        <v>44743</v>
      </c>
      <c r="B78" s="33">
        <v>116.66200000000001</v>
      </c>
      <c r="C78" s="14">
        <v>55</v>
      </c>
      <c r="D78" s="14">
        <f t="shared" si="0"/>
        <v>6.7600091512239766</v>
      </c>
      <c r="E78">
        <v>55</v>
      </c>
      <c r="F78">
        <v>55</v>
      </c>
      <c r="G78">
        <v>6.7600091510000002</v>
      </c>
      <c r="H78">
        <v>6.9431297947999999</v>
      </c>
      <c r="I78" t="s">
        <v>253</v>
      </c>
    </row>
    <row r="79" spans="1:9">
      <c r="A79" s="10">
        <v>44774</v>
      </c>
      <c r="B79" s="33">
        <v>117.002</v>
      </c>
      <c r="C79" s="9">
        <v>56</v>
      </c>
      <c r="D79" s="9">
        <f t="shared" si="0"/>
        <v>6.6368939117754246</v>
      </c>
      <c r="E79">
        <v>56</v>
      </c>
      <c r="F79">
        <v>56</v>
      </c>
      <c r="G79">
        <v>6.6368939119999997</v>
      </c>
      <c r="H79">
        <v>6.7013675118</v>
      </c>
      <c r="I79" t="s">
        <v>254</v>
      </c>
    </row>
    <row r="80" spans="1:9">
      <c r="A80" s="10">
        <v>44805</v>
      </c>
      <c r="B80" s="33">
        <v>117.377</v>
      </c>
      <c r="C80" s="9">
        <v>57</v>
      </c>
      <c r="D80" s="9">
        <f t="shared" si="0"/>
        <v>6.6607903895608223</v>
      </c>
      <c r="E80">
        <v>57</v>
      </c>
      <c r="F80">
        <v>57</v>
      </c>
      <c r="G80">
        <v>6.6607903899999998</v>
      </c>
      <c r="H80">
        <v>6.4596052288000001</v>
      </c>
      <c r="I80" t="s">
        <v>255</v>
      </c>
    </row>
    <row r="81" spans="1:9">
      <c r="A81" s="10">
        <v>44835</v>
      </c>
      <c r="B81" s="33">
        <v>117.89100000000001</v>
      </c>
      <c r="C81" s="9">
        <v>58</v>
      </c>
      <c r="D81" s="9">
        <f t="shared" si="0"/>
        <v>6.4565066235630937</v>
      </c>
      <c r="E81">
        <v>58</v>
      </c>
      <c r="F81">
        <v>58</v>
      </c>
      <c r="G81">
        <v>6.4565066240000002</v>
      </c>
      <c r="H81">
        <v>6.2178429458000002</v>
      </c>
      <c r="I81" t="s">
        <v>256</v>
      </c>
    </row>
    <row r="82" spans="1:9">
      <c r="A82" s="10">
        <v>44866</v>
      </c>
      <c r="B82" s="33">
        <v>118.221</v>
      </c>
      <c r="C82" s="9">
        <v>59</v>
      </c>
      <c r="D82" s="9">
        <f t="shared" si="0"/>
        <v>6.0182943233790684</v>
      </c>
      <c r="E82">
        <v>59</v>
      </c>
      <c r="F82">
        <v>59</v>
      </c>
      <c r="G82">
        <v>6.0182943230000001</v>
      </c>
      <c r="H82">
        <v>5.9760806627000003</v>
      </c>
      <c r="I82" t="s">
        <v>257</v>
      </c>
    </row>
    <row r="83" spans="1:9">
      <c r="A83" s="10">
        <v>44896</v>
      </c>
      <c r="B83" s="33">
        <v>118.40300000000001</v>
      </c>
      <c r="C83" s="9">
        <v>60</v>
      </c>
      <c r="D83" s="9">
        <f t="shared" si="0"/>
        <v>5.508772867823315</v>
      </c>
      <c r="E83">
        <v>60</v>
      </c>
      <c r="F83">
        <v>60</v>
      </c>
      <c r="G83">
        <v>5.5087728680000003</v>
      </c>
      <c r="H83">
        <v>5.7343183797000004</v>
      </c>
      <c r="I83" t="s">
        <v>258</v>
      </c>
    </row>
    <row r="84" spans="1:9">
      <c r="A84" s="10">
        <v>44927</v>
      </c>
      <c r="B84" s="33">
        <v>119.00700000000001</v>
      </c>
      <c r="C84" s="9">
        <v>61</v>
      </c>
      <c r="D84" s="9">
        <f t="shared" si="0"/>
        <v>5.5251117258991354</v>
      </c>
      <c r="E84">
        <v>61</v>
      </c>
      <c r="F84">
        <v>61</v>
      </c>
      <c r="G84">
        <v>5.5251117259999996</v>
      </c>
      <c r="H84">
        <v>5.4925560966999996</v>
      </c>
      <c r="I84" t="s">
        <v>259</v>
      </c>
    </row>
    <row r="85" spans="1:9">
      <c r="A85" s="10">
        <v>44958</v>
      </c>
      <c r="B85" s="33">
        <v>119.401</v>
      </c>
      <c r="C85" s="9">
        <v>62</v>
      </c>
      <c r="D85" s="9">
        <f t="shared" si="0"/>
        <v>5.2093154402629249</v>
      </c>
      <c r="E85">
        <v>62</v>
      </c>
      <c r="F85">
        <v>62</v>
      </c>
      <c r="G85">
        <v>5.2093154400000001</v>
      </c>
      <c r="H85">
        <v>5.2507938136999996</v>
      </c>
      <c r="I85" t="s">
        <v>260</v>
      </c>
    </row>
    <row r="86" spans="1:9">
      <c r="A86" s="16">
        <v>44986</v>
      </c>
      <c r="B86" s="33">
        <v>119.553</v>
      </c>
      <c r="C86" s="14">
        <v>63</v>
      </c>
      <c r="D86" s="14">
        <f t="shared" si="0"/>
        <v>4.4231323533265146</v>
      </c>
      <c r="E86">
        <v>63</v>
      </c>
      <c r="F86">
        <v>63</v>
      </c>
      <c r="G86">
        <v>4.4231323529999997</v>
      </c>
      <c r="H86">
        <v>4.5600252061999997</v>
      </c>
      <c r="I86" t="s">
        <v>261</v>
      </c>
    </row>
    <row r="87" spans="1:9">
      <c r="A87" s="10">
        <v>45017</v>
      </c>
      <c r="B87" s="33">
        <v>119.97</v>
      </c>
      <c r="C87" s="9">
        <v>64</v>
      </c>
      <c r="D87" s="9">
        <f t="shared" si="0"/>
        <v>4.4625364621881669</v>
      </c>
      <c r="E87">
        <v>64</v>
      </c>
      <c r="F87">
        <v>64</v>
      </c>
      <c r="G87">
        <v>4.4625364620000001</v>
      </c>
      <c r="H87">
        <v>4.2300717911000003</v>
      </c>
      <c r="I87" t="s">
        <v>262</v>
      </c>
    </row>
    <row r="88" spans="1:9">
      <c r="A88" s="10">
        <v>45047</v>
      </c>
      <c r="B88" s="33">
        <v>120.14</v>
      </c>
      <c r="C88" s="9">
        <v>65</v>
      </c>
      <c r="D88" s="9">
        <f t="shared" si="0"/>
        <v>3.9795052881203361</v>
      </c>
      <c r="E88">
        <v>65</v>
      </c>
      <c r="F88">
        <v>65</v>
      </c>
      <c r="G88">
        <v>3.9795052879999999</v>
      </c>
      <c r="H88">
        <v>3.900118376</v>
      </c>
      <c r="I88" t="s">
        <v>263</v>
      </c>
    </row>
    <row r="89" spans="1:9">
      <c r="A89" s="10">
        <v>45078</v>
      </c>
      <c r="B89" s="33">
        <v>120.435</v>
      </c>
      <c r="C89" s="9">
        <v>66</v>
      </c>
      <c r="D89" s="9">
        <f t="shared" si="0"/>
        <v>3.2615685366669256</v>
      </c>
      <c r="E89">
        <v>66</v>
      </c>
      <c r="F89">
        <v>66</v>
      </c>
      <c r="G89">
        <v>3.261568537</v>
      </c>
      <c r="H89">
        <v>3.5701649609000001</v>
      </c>
      <c r="I89" t="s">
        <v>264</v>
      </c>
    </row>
    <row r="90" spans="1:9">
      <c r="A90" s="10">
        <v>45108</v>
      </c>
      <c r="B90" s="33">
        <v>120.598</v>
      </c>
      <c r="C90" s="9">
        <v>67</v>
      </c>
      <c r="D90" s="9">
        <f t="shared" ref="D90:D100" si="1">100*(B90-B78)/B78</f>
        <v>3.3738492396838669</v>
      </c>
      <c r="E90">
        <v>67</v>
      </c>
      <c r="F90">
        <v>67</v>
      </c>
      <c r="G90">
        <v>3.3738492400000002</v>
      </c>
      <c r="H90">
        <v>3.2402115457999998</v>
      </c>
      <c r="I90" t="s">
        <v>265</v>
      </c>
    </row>
    <row r="91" spans="1:9">
      <c r="A91" s="16">
        <v>45139</v>
      </c>
      <c r="B91" s="33">
        <v>120.965</v>
      </c>
      <c r="C91" s="14">
        <v>68</v>
      </c>
      <c r="D91" s="14">
        <f t="shared" si="1"/>
        <v>3.3871215876651752</v>
      </c>
      <c r="E91">
        <v>68</v>
      </c>
      <c r="F91">
        <v>68</v>
      </c>
      <c r="G91">
        <v>3.3871215879999998</v>
      </c>
      <c r="H91">
        <v>3.4573101756</v>
      </c>
      <c r="I91" t="s">
        <v>266</v>
      </c>
    </row>
    <row r="92" spans="1:9">
      <c r="A92" s="10">
        <v>45170</v>
      </c>
      <c r="B92" s="33">
        <v>121.387</v>
      </c>
      <c r="C92" s="9">
        <v>69</v>
      </c>
      <c r="D92" s="9">
        <f t="shared" si="1"/>
        <v>3.4163422135512111</v>
      </c>
      <c r="E92">
        <v>69</v>
      </c>
      <c r="F92">
        <v>69</v>
      </c>
      <c r="G92">
        <v>3.4163422140000002</v>
      </c>
      <c r="H92">
        <v>3.2487815328999998</v>
      </c>
      <c r="I92" t="s">
        <v>273</v>
      </c>
    </row>
    <row r="93" spans="1:9">
      <c r="A93" s="10">
        <v>45200</v>
      </c>
      <c r="B93" s="33">
        <v>121.42100000000001</v>
      </c>
      <c r="C93" s="9">
        <v>70</v>
      </c>
      <c r="D93" s="9">
        <f t="shared" si="1"/>
        <v>2.9942913369129118</v>
      </c>
      <c r="E93">
        <v>70</v>
      </c>
      <c r="F93">
        <v>70</v>
      </c>
      <c r="G93">
        <v>2.9942913369999999</v>
      </c>
      <c r="H93">
        <v>3.0402528902000001</v>
      </c>
      <c r="I93" t="s">
        <v>274</v>
      </c>
    </row>
    <row r="94" spans="1:9">
      <c r="A94" s="10">
        <v>45231</v>
      </c>
      <c r="B94" s="33">
        <v>121.41500000000001</v>
      </c>
      <c r="C94" s="9">
        <v>71</v>
      </c>
      <c r="D94" s="9">
        <f t="shared" si="1"/>
        <v>2.7017196606355913</v>
      </c>
      <c r="E94">
        <v>71</v>
      </c>
      <c r="F94">
        <v>71</v>
      </c>
      <c r="G94">
        <v>2.7017196609999998</v>
      </c>
      <c r="H94">
        <v>2.8317242475</v>
      </c>
      <c r="I94" t="s">
        <v>330</v>
      </c>
    </row>
    <row r="95" spans="1:9">
      <c r="A95" s="10">
        <v>45261</v>
      </c>
      <c r="B95" s="33">
        <v>121.602</v>
      </c>
      <c r="C95" s="9">
        <v>72</v>
      </c>
      <c r="D95" s="9">
        <f t="shared" si="1"/>
        <v>2.7017896506000674</v>
      </c>
      <c r="E95">
        <v>72</v>
      </c>
      <c r="F95">
        <v>72</v>
      </c>
      <c r="G95">
        <v>2.7017896509999999</v>
      </c>
      <c r="H95">
        <v>2.6231956047999998</v>
      </c>
      <c r="I95" t="s">
        <v>331</v>
      </c>
    </row>
    <row r="96" spans="1:9">
      <c r="A96" s="16">
        <v>45292</v>
      </c>
      <c r="B96" s="33">
        <v>122.11499999999999</v>
      </c>
      <c r="C96" s="14">
        <v>73</v>
      </c>
      <c r="D96" s="14">
        <f t="shared" si="1"/>
        <v>2.6116110817010676</v>
      </c>
      <c r="E96">
        <v>73</v>
      </c>
      <c r="F96">
        <v>73</v>
      </c>
      <c r="G96">
        <v>2.611611082</v>
      </c>
      <c r="H96">
        <v>2.7716413211000002</v>
      </c>
      <c r="I96" t="s">
        <v>332</v>
      </c>
    </row>
    <row r="97" spans="1:9">
      <c r="A97" s="10">
        <v>45323</v>
      </c>
      <c r="B97" s="33">
        <v>122.494</v>
      </c>
      <c r="C97" s="9">
        <v>74</v>
      </c>
      <c r="D97" s="9">
        <f t="shared" si="1"/>
        <v>2.5904305659081612</v>
      </c>
      <c r="E97">
        <v>74</v>
      </c>
      <c r="F97">
        <v>74</v>
      </c>
      <c r="G97">
        <v>2.5904305660000002</v>
      </c>
      <c r="H97">
        <v>2.7062235499999998</v>
      </c>
      <c r="I97" t="s">
        <v>333</v>
      </c>
    </row>
    <row r="98" spans="1:9">
      <c r="A98" s="10">
        <v>45352</v>
      </c>
      <c r="B98" s="33">
        <v>122.91200000000001</v>
      </c>
      <c r="C98" s="9">
        <v>75</v>
      </c>
      <c r="D98" s="9">
        <f t="shared" si="1"/>
        <v>2.8096325479076301</v>
      </c>
      <c r="E98">
        <v>75</v>
      </c>
      <c r="F98">
        <v>75</v>
      </c>
      <c r="G98">
        <v>2.8096325480000002</v>
      </c>
      <c r="H98">
        <v>2.6408057787999999</v>
      </c>
      <c r="I98" t="s">
        <v>334</v>
      </c>
    </row>
    <row r="99" spans="1:9">
      <c r="A99" s="10">
        <v>45383</v>
      </c>
      <c r="B99" s="33">
        <v>123.23399999999999</v>
      </c>
      <c r="C99" s="9">
        <v>76</v>
      </c>
      <c r="D99" s="9">
        <f t="shared" si="1"/>
        <v>2.720680170042507</v>
      </c>
      <c r="E99">
        <v>76</v>
      </c>
      <c r="F99">
        <v>76</v>
      </c>
      <c r="G99">
        <v>2.7206801700000001</v>
      </c>
      <c r="H99">
        <v>2.5753880077</v>
      </c>
      <c r="I99" t="s">
        <v>335</v>
      </c>
    </row>
    <row r="100" spans="1:9">
      <c r="A100" s="10">
        <v>45413</v>
      </c>
      <c r="B100" s="33">
        <v>123.224</v>
      </c>
      <c r="C100" s="9">
        <v>77</v>
      </c>
      <c r="D100" s="9">
        <f t="shared" si="1"/>
        <v>2.5670051606459157</v>
      </c>
      <c r="E100">
        <v>77</v>
      </c>
      <c r="F100">
        <v>77</v>
      </c>
      <c r="G100">
        <v>2.567005161</v>
      </c>
      <c r="H100">
        <v>2.5099702366000001</v>
      </c>
      <c r="I100" t="s">
        <v>336</v>
      </c>
    </row>
    <row r="101" spans="1:9">
      <c r="A101" s="10">
        <v>45444</v>
      </c>
      <c r="B101" s="33">
        <v>123.369</v>
      </c>
      <c r="C101" s="9">
        <v>78</v>
      </c>
      <c r="D101" s="9">
        <f>100*(B101-B89)/B89</f>
        <v>2.4361688877817889</v>
      </c>
      <c r="E101">
        <v>78</v>
      </c>
      <c r="F101">
        <v>78</v>
      </c>
      <c r="G101">
        <v>2.4361688880000001</v>
      </c>
      <c r="H101">
        <v>2.4445524654000002</v>
      </c>
      <c r="I101" t="s">
        <v>337</v>
      </c>
    </row>
    <row r="102" spans="1:9">
      <c r="A102" s="10">
        <v>45474</v>
      </c>
      <c r="B102" s="33">
        <v>123.575</v>
      </c>
      <c r="C102" s="9">
        <v>79</v>
      </c>
      <c r="D102" s="9">
        <f t="shared" ref="D102" si="2">100*(B102-B90)/B90</f>
        <v>2.4685318164480372</v>
      </c>
      <c r="E102">
        <v>79</v>
      </c>
      <c r="F102">
        <v>79</v>
      </c>
      <c r="G102">
        <v>2.468531816</v>
      </c>
      <c r="H102">
        <v>2.3791346942999998</v>
      </c>
    </row>
    <row r="103" spans="1:9">
      <c r="A103" s="10">
        <v>45505</v>
      </c>
      <c r="B103" s="33">
        <v>123.727</v>
      </c>
      <c r="C103" s="9">
        <v>80</v>
      </c>
      <c r="D103" s="9">
        <f>100*(B103-B91)/B91</f>
        <v>2.2833050882486674</v>
      </c>
      <c r="E103">
        <v>80</v>
      </c>
      <c r="F103">
        <v>80</v>
      </c>
      <c r="G103">
        <v>2.2833050880000001</v>
      </c>
      <c r="H103">
        <v>2.3137169231999999</v>
      </c>
    </row>
    <row r="104" spans="1:9">
      <c r="A104" s="10">
        <v>45536</v>
      </c>
      <c r="B104" s="33">
        <v>123.93899999999999</v>
      </c>
      <c r="C104" s="9">
        <v>81</v>
      </c>
      <c r="D104" s="9">
        <f t="shared" ref="D104" si="3">100*(B104-B92)/B92</f>
        <v>2.1023668102844559</v>
      </c>
      <c r="E104">
        <v>81</v>
      </c>
      <c r="F104">
        <v>81</v>
      </c>
      <c r="G104">
        <v>2.1023668099999999</v>
      </c>
      <c r="H104">
        <v>2.248299152</v>
      </c>
    </row>
    <row r="105" spans="1:9">
      <c r="A105" s="16">
        <v>45566</v>
      </c>
      <c r="B105" s="33">
        <v>124.265</v>
      </c>
      <c r="C105" s="14">
        <v>82</v>
      </c>
      <c r="D105" s="14">
        <f t="shared" ref="D105:D110" si="4">100*(B105-B93)/B93</f>
        <v>2.3422636940891559</v>
      </c>
      <c r="E105">
        <v>82</v>
      </c>
      <c r="F105">
        <v>82</v>
      </c>
      <c r="G105">
        <v>2.3422636940000001</v>
      </c>
      <c r="H105">
        <v>2.4612075832999998</v>
      </c>
    </row>
    <row r="106" spans="1:9">
      <c r="A106" s="10">
        <v>45597</v>
      </c>
      <c r="B106" s="33">
        <v>124.399</v>
      </c>
      <c r="C106" s="9">
        <v>83</v>
      </c>
      <c r="D106" s="9">
        <f t="shared" si="4"/>
        <v>2.4576864473088125</v>
      </c>
      <c r="E106">
        <v>83</v>
      </c>
      <c r="F106">
        <v>83</v>
      </c>
      <c r="G106">
        <v>2.4576864469999999</v>
      </c>
      <c r="H106">
        <v>2.4726896746000002</v>
      </c>
    </row>
    <row r="107" spans="1:9">
      <c r="A107" s="10">
        <v>45627</v>
      </c>
      <c r="B107" s="33">
        <v>124.76900000000001</v>
      </c>
      <c r="C107" s="9">
        <v>84</v>
      </c>
      <c r="D107" s="9">
        <f t="shared" si="4"/>
        <v>2.6043979539810214</v>
      </c>
      <c r="E107">
        <v>84</v>
      </c>
      <c r="F107">
        <v>84</v>
      </c>
      <c r="G107">
        <v>2.604397954</v>
      </c>
      <c r="H107">
        <v>2.4841717659000002</v>
      </c>
    </row>
    <row r="108" spans="1:9">
      <c r="A108" s="10">
        <v>45658</v>
      </c>
      <c r="B108" s="33">
        <v>125.23099999999999</v>
      </c>
      <c r="C108" s="9">
        <v>85</v>
      </c>
      <c r="D108" s="9">
        <f t="shared" si="4"/>
        <v>2.5516930761986649</v>
      </c>
      <c r="E108">
        <v>85</v>
      </c>
      <c r="F108">
        <v>85</v>
      </c>
      <c r="G108">
        <v>2.5516930759999998</v>
      </c>
      <c r="H108">
        <v>2.4956538571000002</v>
      </c>
    </row>
    <row r="109" spans="1:9">
      <c r="A109" s="10">
        <v>45689</v>
      </c>
      <c r="B109" s="33">
        <v>125.788</v>
      </c>
      <c r="C109" s="9">
        <v>86</v>
      </c>
      <c r="D109" s="9">
        <f t="shared" si="4"/>
        <v>2.689111303410777</v>
      </c>
      <c r="E109">
        <v>86</v>
      </c>
      <c r="F109">
        <v>86</v>
      </c>
      <c r="G109">
        <v>2.6891113029999998</v>
      </c>
      <c r="H109">
        <v>2.5071359484000002</v>
      </c>
    </row>
    <row r="110" spans="1:9">
      <c r="A110" s="10">
        <v>45717</v>
      </c>
      <c r="B110" s="33">
        <v>125.732</v>
      </c>
      <c r="C110" s="9">
        <v>87</v>
      </c>
      <c r="D110" s="9">
        <f t="shared" si="4"/>
        <v>2.2943243946888776</v>
      </c>
      <c r="E110">
        <v>87</v>
      </c>
      <c r="F110">
        <v>87</v>
      </c>
      <c r="G110">
        <v>2.2943243949999998</v>
      </c>
      <c r="H110">
        <v>2.5186180397000002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17E0-C594-4B0C-BD44-F82924D0049B}">
  <dimension ref="A11:I109"/>
  <sheetViews>
    <sheetView topLeftCell="A93" workbookViewId="0">
      <selection activeCell="C23" sqref="C23:H23"/>
    </sheetView>
  </sheetViews>
  <sheetFormatPr defaultRowHeight="13.2"/>
  <cols>
    <col min="1" max="1" width="12" customWidth="1"/>
    <col min="3" max="3" width="3.5546875" bestFit="1" customWidth="1"/>
    <col min="5" max="6" width="3.5546875" bestFit="1" customWidth="1"/>
  </cols>
  <sheetData>
    <row r="11" spans="1:4" ht="15">
      <c r="A11" s="46" t="s">
        <v>9</v>
      </c>
      <c r="B11" s="46" t="s">
        <v>6</v>
      </c>
      <c r="C11" s="31"/>
      <c r="D11" s="31"/>
    </row>
    <row r="12" spans="1:4">
      <c r="A12" s="32">
        <v>42736</v>
      </c>
      <c r="B12" s="33">
        <v>99.450999999999993</v>
      </c>
      <c r="C12" s="31"/>
      <c r="D12" s="31"/>
    </row>
    <row r="13" spans="1:4">
      <c r="A13" s="32">
        <v>42767</v>
      </c>
      <c r="B13" s="33">
        <v>99.585999999999999</v>
      </c>
      <c r="C13" s="31"/>
      <c r="D13" s="31"/>
    </row>
    <row r="14" spans="1:4">
      <c r="A14" s="32">
        <v>42795</v>
      </c>
      <c r="B14" s="33">
        <v>99.534999999999997</v>
      </c>
      <c r="C14" s="31"/>
      <c r="D14" s="31"/>
    </row>
    <row r="15" spans="1:4">
      <c r="A15" s="32">
        <v>42826</v>
      </c>
      <c r="B15" s="33">
        <v>99.724999999999994</v>
      </c>
      <c r="C15" s="31"/>
      <c r="D15" s="31"/>
    </row>
    <row r="16" spans="1:4">
      <c r="A16" s="32">
        <v>42856</v>
      </c>
      <c r="B16" s="33">
        <v>99.682000000000002</v>
      </c>
      <c r="C16" s="31"/>
      <c r="D16" s="31"/>
    </row>
    <row r="17" spans="1:9">
      <c r="A17" s="32">
        <v>42887</v>
      </c>
      <c r="B17" s="33">
        <v>99.766000000000005</v>
      </c>
      <c r="C17" s="31"/>
      <c r="D17" s="31"/>
    </row>
    <row r="18" spans="1:9">
      <c r="A18" s="32">
        <v>42917</v>
      </c>
      <c r="B18" s="33">
        <v>99.802999999999997</v>
      </c>
      <c r="C18" s="31"/>
      <c r="D18" s="31"/>
    </row>
    <row r="19" spans="1:9">
      <c r="A19" s="32">
        <v>42948</v>
      </c>
      <c r="B19" s="33">
        <v>100.027</v>
      </c>
      <c r="C19" s="31"/>
      <c r="D19" s="31"/>
    </row>
    <row r="20" spans="1:9">
      <c r="A20" s="32">
        <v>42979</v>
      </c>
      <c r="B20" s="33">
        <v>100.4</v>
      </c>
      <c r="C20" s="31"/>
      <c r="D20" s="31"/>
    </row>
    <row r="21" spans="1:9">
      <c r="A21" s="32">
        <v>43009</v>
      </c>
      <c r="B21" s="33">
        <v>100.53100000000001</v>
      </c>
      <c r="C21" s="31"/>
      <c r="D21" s="31"/>
    </row>
    <row r="22" spans="1:9">
      <c r="A22" s="32">
        <v>43040</v>
      </c>
      <c r="B22" s="33">
        <v>100.675</v>
      </c>
      <c r="C22" s="31"/>
      <c r="D22" s="31"/>
    </row>
    <row r="23" spans="1:9" ht="13.8">
      <c r="A23" s="32">
        <v>43070</v>
      </c>
      <c r="B23" s="33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10">
        <v>43101</v>
      </c>
      <c r="B24" s="33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>
      <c r="A25" s="10">
        <v>43132</v>
      </c>
      <c r="B25" s="33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338</v>
      </c>
    </row>
    <row r="26" spans="1:9">
      <c r="A26" s="10">
        <v>43160</v>
      </c>
      <c r="B26" s="33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10">
        <v>43191</v>
      </c>
      <c r="B27" s="33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10">
        <v>43221</v>
      </c>
      <c r="B28" s="33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16">
        <v>43252</v>
      </c>
      <c r="B29" s="33">
        <v>102.029</v>
      </c>
      <c r="C29" s="14">
        <v>6</v>
      </c>
      <c r="D29" s="14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>
      <c r="A30" s="10">
        <v>43282</v>
      </c>
      <c r="B30" s="33">
        <v>102.137</v>
      </c>
      <c r="C30" s="9">
        <v>7</v>
      </c>
      <c r="D30" s="9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10">
        <v>43313</v>
      </c>
      <c r="B31" s="33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10">
        <v>43344</v>
      </c>
      <c r="B32" s="33">
        <v>102.41800000000001</v>
      </c>
      <c r="C32" s="9">
        <v>9</v>
      </c>
      <c r="D32" s="9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10">
        <v>43374</v>
      </c>
      <c r="B33" s="33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10">
        <v>43405</v>
      </c>
      <c r="B34" s="33">
        <v>102.63</v>
      </c>
      <c r="C34" s="9">
        <v>11</v>
      </c>
      <c r="D34" s="9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10">
        <v>43435</v>
      </c>
      <c r="B35" s="33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16">
        <v>43466</v>
      </c>
      <c r="B36" s="33">
        <v>102.648</v>
      </c>
      <c r="C36" s="14">
        <v>13</v>
      </c>
      <c r="D36" s="14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>
      <c r="A37" s="10">
        <v>43497</v>
      </c>
      <c r="B37" s="33">
        <v>102.836</v>
      </c>
      <c r="C37" s="9">
        <v>14</v>
      </c>
      <c r="D37" s="9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>
      <c r="A38" s="10">
        <v>43525</v>
      </c>
      <c r="B38" s="33">
        <v>103.069</v>
      </c>
      <c r="C38" s="9">
        <v>15</v>
      </c>
      <c r="D38" s="9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>
      <c r="A39" s="10">
        <v>43556</v>
      </c>
      <c r="B39" s="33">
        <v>103.36</v>
      </c>
      <c r="C39" s="9">
        <v>16</v>
      </c>
      <c r="D39" s="9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>
      <c r="A40" s="10">
        <v>43586</v>
      </c>
      <c r="B40" s="33">
        <v>103.435</v>
      </c>
      <c r="C40" s="9">
        <v>17</v>
      </c>
      <c r="D40" s="9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>
      <c r="A41" s="16">
        <v>43617</v>
      </c>
      <c r="B41" s="33">
        <v>103.48399999999999</v>
      </c>
      <c r="C41" s="14">
        <v>18</v>
      </c>
      <c r="D41" s="14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>
      <c r="A42" s="10">
        <v>43647</v>
      </c>
      <c r="B42" s="33">
        <v>103.622</v>
      </c>
      <c r="C42" s="9">
        <v>19</v>
      </c>
      <c r="D42" s="9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>
      <c r="A43" s="10">
        <v>43678</v>
      </c>
      <c r="B43" s="33">
        <v>103.67</v>
      </c>
      <c r="C43" s="9">
        <v>20</v>
      </c>
      <c r="D43" s="9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>
      <c r="A44" s="10">
        <v>43709</v>
      </c>
      <c r="B44" s="33">
        <v>103.733</v>
      </c>
      <c r="C44" s="9">
        <v>21</v>
      </c>
      <c r="D44" s="9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>
      <c r="A45" s="10">
        <v>43739</v>
      </c>
      <c r="B45" s="33">
        <v>103.917</v>
      </c>
      <c r="C45" s="9">
        <v>22</v>
      </c>
      <c r="D45" s="9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>
      <c r="A46" s="16">
        <v>43770</v>
      </c>
      <c r="B46" s="33">
        <v>104.024</v>
      </c>
      <c r="C46" s="14">
        <v>23</v>
      </c>
      <c r="D46" s="14">
        <f t="shared" si="0"/>
        <v>1.3582773068303668</v>
      </c>
      <c r="E46">
        <v>23</v>
      </c>
      <c r="F46">
        <v>23</v>
      </c>
      <c r="G46">
        <v>1.358277307</v>
      </c>
      <c r="H46">
        <v>1.7312877777</v>
      </c>
      <c r="I46" t="s">
        <v>223</v>
      </c>
    </row>
    <row r="47" spans="1:9">
      <c r="A47" s="10">
        <v>43800</v>
      </c>
      <c r="B47" s="33">
        <v>104.307</v>
      </c>
      <c r="C47" s="9">
        <v>24</v>
      </c>
      <c r="D47" s="9">
        <f t="shared" si="0"/>
        <v>1.5637627676458932</v>
      </c>
      <c r="E47">
        <v>24</v>
      </c>
      <c r="F47">
        <v>24</v>
      </c>
      <c r="G47">
        <v>1.5637627679999999</v>
      </c>
      <c r="H47">
        <v>1.5609958544</v>
      </c>
      <c r="I47" t="s">
        <v>224</v>
      </c>
    </row>
    <row r="48" spans="1:9">
      <c r="A48" s="10">
        <v>43831</v>
      </c>
      <c r="B48" s="33">
        <v>104.419</v>
      </c>
      <c r="C48" s="9">
        <v>25</v>
      </c>
      <c r="D48" s="9">
        <f t="shared" si="0"/>
        <v>1.7253136933988007</v>
      </c>
      <c r="E48">
        <v>25</v>
      </c>
      <c r="F48">
        <v>25</v>
      </c>
      <c r="G48">
        <v>1.7253136929999999</v>
      </c>
      <c r="H48">
        <v>1.3907039311</v>
      </c>
      <c r="I48" t="s">
        <v>225</v>
      </c>
    </row>
    <row r="49" spans="1:9">
      <c r="A49" s="10">
        <v>43862</v>
      </c>
      <c r="B49" s="33">
        <v>104.541</v>
      </c>
      <c r="C49" s="9">
        <v>26</v>
      </c>
      <c r="D49" s="9">
        <f t="shared" si="0"/>
        <v>1.6579796958263626</v>
      </c>
      <c r="E49">
        <v>26</v>
      </c>
      <c r="F49">
        <v>26</v>
      </c>
      <c r="G49">
        <v>1.6579796959999999</v>
      </c>
      <c r="H49">
        <v>1.2204120079</v>
      </c>
      <c r="I49" t="s">
        <v>226</v>
      </c>
    </row>
    <row r="50" spans="1:9">
      <c r="A50" s="10">
        <v>43891</v>
      </c>
      <c r="B50" s="33">
        <v>104.252</v>
      </c>
      <c r="C50" s="9">
        <v>27</v>
      </c>
      <c r="D50" s="9">
        <f t="shared" si="0"/>
        <v>1.1477747916444252</v>
      </c>
      <c r="E50">
        <v>27</v>
      </c>
      <c r="F50">
        <v>27</v>
      </c>
      <c r="G50">
        <v>1.1477747920000001</v>
      </c>
      <c r="H50">
        <v>1.0501200846000001</v>
      </c>
      <c r="I50" t="s">
        <v>227</v>
      </c>
    </row>
    <row r="51" spans="1:9">
      <c r="A51" s="10">
        <v>43922</v>
      </c>
      <c r="B51" s="33">
        <v>103.81699999999999</v>
      </c>
      <c r="C51" s="9">
        <v>28</v>
      </c>
      <c r="D51" s="9">
        <f t="shared" si="0"/>
        <v>0.44214396284829105</v>
      </c>
      <c r="E51">
        <v>28</v>
      </c>
      <c r="F51">
        <v>28</v>
      </c>
      <c r="G51">
        <v>0.44214396299999997</v>
      </c>
      <c r="H51">
        <v>0.87982816139999998</v>
      </c>
      <c r="I51" t="s">
        <v>228</v>
      </c>
    </row>
    <row r="52" spans="1:9">
      <c r="A52" s="10">
        <v>43952</v>
      </c>
      <c r="B52" s="33">
        <v>103.914</v>
      </c>
      <c r="C52" s="9">
        <v>29</v>
      </c>
      <c r="D52" s="9">
        <f t="shared" si="0"/>
        <v>0.46309276357132423</v>
      </c>
      <c r="E52">
        <v>29</v>
      </c>
      <c r="F52">
        <v>29</v>
      </c>
      <c r="G52">
        <v>0.46309276399999999</v>
      </c>
      <c r="H52">
        <v>0.70953623809999999</v>
      </c>
      <c r="I52" t="s">
        <v>229</v>
      </c>
    </row>
    <row r="53" spans="1:9">
      <c r="A53" s="10">
        <v>43983</v>
      </c>
      <c r="B53" s="33">
        <v>104.233</v>
      </c>
      <c r="C53" s="9">
        <v>30</v>
      </c>
      <c r="D53" s="9">
        <f t="shared" si="0"/>
        <v>0.7237833868037663</v>
      </c>
      <c r="E53">
        <v>30</v>
      </c>
      <c r="F53">
        <v>30</v>
      </c>
      <c r="G53">
        <v>0.723783387</v>
      </c>
      <c r="H53">
        <v>0.53924431480000001</v>
      </c>
      <c r="I53" t="s">
        <v>230</v>
      </c>
    </row>
    <row r="54" spans="1:9">
      <c r="A54" s="16">
        <v>44013</v>
      </c>
      <c r="B54" s="33">
        <v>104.56399999999999</v>
      </c>
      <c r="C54" s="14">
        <v>31</v>
      </c>
      <c r="D54" s="14">
        <f t="shared" si="0"/>
        <v>0.90907336279939888</v>
      </c>
      <c r="E54">
        <v>31</v>
      </c>
      <c r="F54">
        <v>31</v>
      </c>
      <c r="G54">
        <v>0.90907336299999997</v>
      </c>
      <c r="H54">
        <v>0.93293996089999998</v>
      </c>
      <c r="I54" t="s">
        <v>231</v>
      </c>
    </row>
    <row r="55" spans="1:9">
      <c r="A55" s="10">
        <v>44044</v>
      </c>
      <c r="B55" s="33">
        <v>104.887</v>
      </c>
      <c r="C55" s="9">
        <v>32</v>
      </c>
      <c r="D55" s="9">
        <f t="shared" si="0"/>
        <v>1.1739172373878641</v>
      </c>
      <c r="E55">
        <v>32</v>
      </c>
      <c r="F55">
        <v>32</v>
      </c>
      <c r="G55">
        <v>1.1739172369999999</v>
      </c>
      <c r="H55">
        <v>1.0382822183</v>
      </c>
      <c r="I55" t="s">
        <v>232</v>
      </c>
    </row>
    <row r="56" spans="1:9">
      <c r="A56" s="10">
        <v>44075</v>
      </c>
      <c r="B56" s="33">
        <v>105.04600000000001</v>
      </c>
      <c r="C56" s="9">
        <v>33</v>
      </c>
      <c r="D56" s="9">
        <f t="shared" si="0"/>
        <v>1.2657495686040146</v>
      </c>
      <c r="E56">
        <v>33</v>
      </c>
      <c r="F56">
        <v>33</v>
      </c>
      <c r="G56">
        <v>1.265749569</v>
      </c>
      <c r="H56">
        <v>1.1436244756</v>
      </c>
      <c r="I56" t="s">
        <v>233</v>
      </c>
    </row>
    <row r="57" spans="1:9">
      <c r="A57" s="10">
        <v>44105</v>
      </c>
      <c r="B57" s="33">
        <v>105.10599999999999</v>
      </c>
      <c r="C57" s="9">
        <v>34</v>
      </c>
      <c r="D57" s="9">
        <f t="shared" si="0"/>
        <v>1.144182376319556</v>
      </c>
      <c r="E57">
        <v>34</v>
      </c>
      <c r="F57">
        <v>34</v>
      </c>
      <c r="G57">
        <v>1.1441823760000001</v>
      </c>
      <c r="H57">
        <v>1.2489667330000001</v>
      </c>
      <c r="I57" t="s">
        <v>234</v>
      </c>
    </row>
    <row r="58" spans="1:9">
      <c r="A58" s="10">
        <v>44136</v>
      </c>
      <c r="B58" s="33">
        <v>105.22499999999999</v>
      </c>
      <c r="C58" s="9">
        <v>35</v>
      </c>
      <c r="D58" s="9">
        <f t="shared" si="0"/>
        <v>1.1545412597092914</v>
      </c>
      <c r="E58">
        <v>35</v>
      </c>
      <c r="F58">
        <v>35</v>
      </c>
      <c r="G58">
        <v>1.15454126</v>
      </c>
      <c r="H58">
        <v>1.3543089903000001</v>
      </c>
      <c r="I58" t="s">
        <v>109</v>
      </c>
    </row>
    <row r="59" spans="1:9">
      <c r="A59" s="10">
        <v>44166</v>
      </c>
      <c r="B59" s="33">
        <v>105.69</v>
      </c>
      <c r="C59" s="9">
        <v>36</v>
      </c>
      <c r="D59" s="9">
        <f t="shared" si="0"/>
        <v>1.3258937559320041</v>
      </c>
      <c r="E59">
        <v>36</v>
      </c>
      <c r="F59">
        <v>36</v>
      </c>
      <c r="G59">
        <v>1.3258937559999999</v>
      </c>
      <c r="H59">
        <v>1.4596512476000001</v>
      </c>
      <c r="I59" t="s">
        <v>235</v>
      </c>
    </row>
    <row r="60" spans="1:9">
      <c r="A60" s="10">
        <v>44197</v>
      </c>
      <c r="B60" s="33">
        <v>106.083</v>
      </c>
      <c r="C60" s="9">
        <v>37</v>
      </c>
      <c r="D60" s="9">
        <f t="shared" si="0"/>
        <v>1.5935797125044306</v>
      </c>
      <c r="E60">
        <v>37</v>
      </c>
      <c r="F60">
        <v>37</v>
      </c>
      <c r="G60">
        <v>1.593579713</v>
      </c>
      <c r="H60">
        <v>1.5649935049999999</v>
      </c>
      <c r="I60" t="s">
        <v>236</v>
      </c>
    </row>
    <row r="61" spans="1:9">
      <c r="A61" s="10">
        <v>44228</v>
      </c>
      <c r="B61" s="33">
        <v>106.471</v>
      </c>
      <c r="C61" s="9">
        <v>38</v>
      </c>
      <c r="D61" s="9">
        <f t="shared" si="0"/>
        <v>1.846165619230739</v>
      </c>
      <c r="E61">
        <v>38</v>
      </c>
      <c r="F61">
        <v>38</v>
      </c>
      <c r="G61">
        <v>1.846165619</v>
      </c>
      <c r="H61">
        <v>1.6703357622999999</v>
      </c>
      <c r="I61" t="s">
        <v>237</v>
      </c>
    </row>
    <row r="62" spans="1:9">
      <c r="A62" s="16">
        <v>44256</v>
      </c>
      <c r="B62" s="33">
        <v>107.032</v>
      </c>
      <c r="C62" s="14">
        <v>39</v>
      </c>
      <c r="D62" s="14">
        <f t="shared" si="0"/>
        <v>2.6666155085753762</v>
      </c>
      <c r="E62">
        <v>39</v>
      </c>
      <c r="F62">
        <v>39</v>
      </c>
      <c r="G62">
        <v>2.6666155090000001</v>
      </c>
      <c r="H62">
        <v>2.9906219456000001</v>
      </c>
      <c r="I62" t="s">
        <v>238</v>
      </c>
    </row>
    <row r="63" spans="1:9">
      <c r="A63" s="10">
        <v>44287</v>
      </c>
      <c r="B63" s="33">
        <v>107.63200000000001</v>
      </c>
      <c r="C63" s="9">
        <v>40</v>
      </c>
      <c r="D63" s="9">
        <f t="shared" si="0"/>
        <v>3.6747353516283576</v>
      </c>
      <c r="E63">
        <v>40</v>
      </c>
      <c r="F63">
        <v>40</v>
      </c>
      <c r="G63">
        <v>3.6747353519999999</v>
      </c>
      <c r="H63">
        <v>3.4240644095000001</v>
      </c>
      <c r="I63" t="s">
        <v>110</v>
      </c>
    </row>
    <row r="64" spans="1:9">
      <c r="A64" s="10">
        <v>44317</v>
      </c>
      <c r="B64" s="33">
        <v>108.184</v>
      </c>
      <c r="C64" s="9">
        <v>41</v>
      </c>
      <c r="D64" s="9">
        <f t="shared" si="0"/>
        <v>4.1091671959504934</v>
      </c>
      <c r="E64">
        <v>41</v>
      </c>
      <c r="F64">
        <v>41</v>
      </c>
      <c r="G64">
        <v>4.1091671959999996</v>
      </c>
      <c r="H64">
        <v>3.8575068734000002</v>
      </c>
      <c r="I64" t="s">
        <v>239</v>
      </c>
    </row>
    <row r="65" spans="1:9">
      <c r="A65" s="10">
        <v>44348</v>
      </c>
      <c r="B65" s="33">
        <v>108.748</v>
      </c>
      <c r="C65" s="9">
        <v>42</v>
      </c>
      <c r="D65" s="9">
        <f t="shared" si="0"/>
        <v>4.3316416106223556</v>
      </c>
      <c r="E65">
        <v>42</v>
      </c>
      <c r="F65">
        <v>42</v>
      </c>
      <c r="G65">
        <v>4.3316416110000002</v>
      </c>
      <c r="H65">
        <v>4.2909493372999998</v>
      </c>
      <c r="I65" t="s">
        <v>240</v>
      </c>
    </row>
    <row r="66" spans="1:9">
      <c r="A66" s="10">
        <v>44378</v>
      </c>
      <c r="B66" s="33">
        <v>109.27500000000001</v>
      </c>
      <c r="C66" s="9">
        <v>43</v>
      </c>
      <c r="D66" s="9">
        <f t="shared" si="0"/>
        <v>4.5053746987491037</v>
      </c>
      <c r="E66">
        <v>43</v>
      </c>
      <c r="F66">
        <v>43</v>
      </c>
      <c r="G66">
        <v>4.5053746989999999</v>
      </c>
      <c r="H66">
        <v>4.7243918012000004</v>
      </c>
      <c r="I66" t="s">
        <v>241</v>
      </c>
    </row>
    <row r="67" spans="1:9">
      <c r="A67" s="16">
        <v>44409</v>
      </c>
      <c r="B67" s="33">
        <v>109.72</v>
      </c>
      <c r="C67" s="14">
        <v>44</v>
      </c>
      <c r="D67" s="14">
        <f t="shared" si="0"/>
        <v>4.6078160305852949</v>
      </c>
      <c r="E67">
        <v>44</v>
      </c>
      <c r="F67">
        <v>44</v>
      </c>
      <c r="G67">
        <v>4.6078160309999996</v>
      </c>
      <c r="H67">
        <v>4.5053705653999998</v>
      </c>
      <c r="I67" t="s">
        <v>242</v>
      </c>
    </row>
    <row r="68" spans="1:9">
      <c r="A68" s="10">
        <v>44440</v>
      </c>
      <c r="B68" s="33">
        <v>110.047</v>
      </c>
      <c r="C68" s="9">
        <v>45</v>
      </c>
      <c r="D68" s="9">
        <f t="shared" si="0"/>
        <v>4.7607714715457901</v>
      </c>
      <c r="E68">
        <v>45</v>
      </c>
      <c r="F68">
        <v>45</v>
      </c>
      <c r="G68">
        <v>4.7607714720000001</v>
      </c>
      <c r="H68">
        <v>4.9409002427999997</v>
      </c>
      <c r="I68" t="s">
        <v>243</v>
      </c>
    </row>
    <row r="69" spans="1:9">
      <c r="A69" s="10">
        <v>44470</v>
      </c>
      <c r="B69" s="33">
        <v>110.741</v>
      </c>
      <c r="C69" s="9">
        <v>46</v>
      </c>
      <c r="D69" s="9">
        <f t="shared" si="0"/>
        <v>5.3612543527486585</v>
      </c>
      <c r="E69">
        <v>46</v>
      </c>
      <c r="F69">
        <v>46</v>
      </c>
      <c r="G69">
        <v>5.3612543529999996</v>
      </c>
      <c r="H69">
        <v>5.3764299201999997</v>
      </c>
      <c r="I69" t="s">
        <v>244</v>
      </c>
    </row>
    <row r="70" spans="1:9">
      <c r="A70" s="10">
        <v>44501</v>
      </c>
      <c r="B70" s="33">
        <v>111.51</v>
      </c>
      <c r="C70" s="9">
        <v>47</v>
      </c>
      <c r="D70" s="9">
        <f t="shared" si="0"/>
        <v>5.9729151817533968</v>
      </c>
      <c r="E70">
        <v>47</v>
      </c>
      <c r="F70">
        <v>47</v>
      </c>
      <c r="G70">
        <v>5.9729151820000004</v>
      </c>
      <c r="H70">
        <v>5.8119595975999996</v>
      </c>
      <c r="I70" t="s">
        <v>245</v>
      </c>
    </row>
    <row r="71" spans="1:9">
      <c r="A71" s="10">
        <v>44531</v>
      </c>
      <c r="B71" s="33">
        <v>112.221</v>
      </c>
      <c r="C71" s="9">
        <v>48</v>
      </c>
      <c r="D71" s="9">
        <f t="shared" si="0"/>
        <v>6.1793925631564068</v>
      </c>
      <c r="E71">
        <v>48</v>
      </c>
      <c r="F71">
        <v>48</v>
      </c>
      <c r="G71">
        <v>6.1793925630000004</v>
      </c>
      <c r="H71">
        <v>6.2474892750000004</v>
      </c>
      <c r="I71" t="s">
        <v>246</v>
      </c>
    </row>
    <row r="72" spans="1:9">
      <c r="A72" s="16">
        <v>44562</v>
      </c>
      <c r="B72" s="33">
        <v>112.776</v>
      </c>
      <c r="C72" s="14">
        <v>49</v>
      </c>
      <c r="D72" s="14">
        <f t="shared" si="0"/>
        <v>6.3092107123667294</v>
      </c>
      <c r="E72">
        <v>49</v>
      </c>
      <c r="F72">
        <v>49</v>
      </c>
      <c r="G72">
        <v>6.3092107119999996</v>
      </c>
      <c r="H72">
        <v>6.4083166605999997</v>
      </c>
      <c r="I72" t="s">
        <v>247</v>
      </c>
    </row>
    <row r="73" spans="1:9">
      <c r="A73" s="10">
        <v>44593</v>
      </c>
      <c r="B73" s="33">
        <v>113.489</v>
      </c>
      <c r="C73" s="9">
        <v>50</v>
      </c>
      <c r="D73" s="9">
        <f t="shared" si="0"/>
        <v>6.5914662208488703</v>
      </c>
      <c r="E73">
        <v>50</v>
      </c>
      <c r="F73">
        <v>50</v>
      </c>
      <c r="G73">
        <v>6.5914662210000001</v>
      </c>
      <c r="H73">
        <v>6.5529590067000001</v>
      </c>
      <c r="I73" t="s">
        <v>248</v>
      </c>
    </row>
    <row r="74" spans="1:9">
      <c r="A74" s="10">
        <v>44621</v>
      </c>
      <c r="B74" s="33">
        <v>114.489</v>
      </c>
      <c r="C74" s="9">
        <v>51</v>
      </c>
      <c r="D74" s="9">
        <f t="shared" si="0"/>
        <v>6.9670752672098137</v>
      </c>
      <c r="E74">
        <v>51</v>
      </c>
      <c r="F74">
        <v>51</v>
      </c>
      <c r="G74">
        <v>6.9670752670000002</v>
      </c>
      <c r="H74">
        <v>6.6976013527999996</v>
      </c>
      <c r="I74" t="s">
        <v>249</v>
      </c>
    </row>
    <row r="75" spans="1:9">
      <c r="A75" s="10">
        <v>44652</v>
      </c>
      <c r="B75" s="33">
        <v>114.845</v>
      </c>
      <c r="C75" s="9">
        <v>52</v>
      </c>
      <c r="D75" s="9">
        <f t="shared" si="0"/>
        <v>6.7015385758882058</v>
      </c>
      <c r="E75">
        <v>52</v>
      </c>
      <c r="F75">
        <v>52</v>
      </c>
      <c r="G75">
        <v>6.7015385759999999</v>
      </c>
      <c r="H75">
        <v>6.8422436988999999</v>
      </c>
      <c r="I75" t="s">
        <v>250</v>
      </c>
    </row>
    <row r="76" spans="1:9">
      <c r="A76" s="10">
        <v>44682</v>
      </c>
      <c r="B76" s="33">
        <v>115.542</v>
      </c>
      <c r="C76" s="9">
        <v>53</v>
      </c>
      <c r="D76" s="9">
        <f t="shared" si="0"/>
        <v>6.8013754344450232</v>
      </c>
      <c r="E76">
        <v>53</v>
      </c>
      <c r="F76">
        <v>53</v>
      </c>
      <c r="G76">
        <v>6.8013754339999997</v>
      </c>
      <c r="H76">
        <v>6.9868860450000003</v>
      </c>
      <c r="I76" t="s">
        <v>251</v>
      </c>
    </row>
    <row r="77" spans="1:9">
      <c r="A77" s="10">
        <v>44713</v>
      </c>
      <c r="B77" s="33">
        <v>116.631</v>
      </c>
      <c r="C77" s="9">
        <v>54</v>
      </c>
      <c r="D77" s="9">
        <f t="shared" si="0"/>
        <v>7.2488689447162198</v>
      </c>
      <c r="E77">
        <v>54</v>
      </c>
      <c r="F77">
        <v>54</v>
      </c>
      <c r="G77">
        <v>7.2488689449999999</v>
      </c>
      <c r="H77">
        <v>7.1315283909999998</v>
      </c>
      <c r="I77" t="s">
        <v>252</v>
      </c>
    </row>
    <row r="78" spans="1:9">
      <c r="A78" s="16">
        <v>44743</v>
      </c>
      <c r="B78" s="33">
        <v>116.66200000000001</v>
      </c>
      <c r="C78" s="14">
        <v>55</v>
      </c>
      <c r="D78" s="14">
        <f t="shared" si="0"/>
        <v>6.7600091512239766</v>
      </c>
      <c r="E78">
        <v>55</v>
      </c>
      <c r="F78">
        <v>55</v>
      </c>
      <c r="G78">
        <v>6.7600091510000002</v>
      </c>
      <c r="H78">
        <v>6.9431297947999999</v>
      </c>
      <c r="I78" t="s">
        <v>253</v>
      </c>
    </row>
    <row r="79" spans="1:9">
      <c r="A79" s="10">
        <v>44774</v>
      </c>
      <c r="B79" s="33">
        <v>117.002</v>
      </c>
      <c r="C79" s="9">
        <v>56</v>
      </c>
      <c r="D79" s="9">
        <f t="shared" si="0"/>
        <v>6.6368939117754246</v>
      </c>
      <c r="E79">
        <v>56</v>
      </c>
      <c r="F79">
        <v>56</v>
      </c>
      <c r="G79">
        <v>6.6368939119999997</v>
      </c>
      <c r="H79">
        <v>6.7013675118</v>
      </c>
      <c r="I79" t="s">
        <v>254</v>
      </c>
    </row>
    <row r="80" spans="1:9">
      <c r="A80" s="10">
        <v>44805</v>
      </c>
      <c r="B80" s="33">
        <v>117.377</v>
      </c>
      <c r="C80" s="9">
        <v>57</v>
      </c>
      <c r="D80" s="9">
        <f t="shared" si="0"/>
        <v>6.6607903895608223</v>
      </c>
      <c r="E80">
        <v>57</v>
      </c>
      <c r="F80">
        <v>57</v>
      </c>
      <c r="G80">
        <v>6.6607903899999998</v>
      </c>
      <c r="H80">
        <v>6.4596052288000001</v>
      </c>
      <c r="I80" t="s">
        <v>255</v>
      </c>
    </row>
    <row r="81" spans="1:9">
      <c r="A81" s="10">
        <v>44835</v>
      </c>
      <c r="B81" s="33">
        <v>117.89100000000001</v>
      </c>
      <c r="C81" s="9">
        <v>58</v>
      </c>
      <c r="D81" s="9">
        <f t="shared" si="0"/>
        <v>6.4565066235630937</v>
      </c>
      <c r="E81">
        <v>58</v>
      </c>
      <c r="F81">
        <v>58</v>
      </c>
      <c r="G81">
        <v>6.4565066240000002</v>
      </c>
      <c r="H81">
        <v>6.2178429458000002</v>
      </c>
      <c r="I81" t="s">
        <v>256</v>
      </c>
    </row>
    <row r="82" spans="1:9">
      <c r="A82" s="10">
        <v>44866</v>
      </c>
      <c r="B82" s="33">
        <v>118.221</v>
      </c>
      <c r="C82" s="9">
        <v>59</v>
      </c>
      <c r="D82" s="9">
        <f t="shared" si="0"/>
        <v>6.0182943233790684</v>
      </c>
      <c r="E82">
        <v>59</v>
      </c>
      <c r="F82">
        <v>59</v>
      </c>
      <c r="G82">
        <v>6.0182943230000001</v>
      </c>
      <c r="H82">
        <v>5.9760806627000003</v>
      </c>
      <c r="I82" t="s">
        <v>257</v>
      </c>
    </row>
    <row r="83" spans="1:9">
      <c r="A83" s="10">
        <v>44896</v>
      </c>
      <c r="B83" s="33">
        <v>118.40300000000001</v>
      </c>
      <c r="C83" s="9">
        <v>60</v>
      </c>
      <c r="D83" s="9">
        <f t="shared" si="0"/>
        <v>5.508772867823315</v>
      </c>
      <c r="E83">
        <v>60</v>
      </c>
      <c r="F83">
        <v>60</v>
      </c>
      <c r="G83">
        <v>5.5087728680000003</v>
      </c>
      <c r="H83">
        <v>5.7343183797000004</v>
      </c>
      <c r="I83" t="s">
        <v>258</v>
      </c>
    </row>
    <row r="84" spans="1:9">
      <c r="A84" s="10">
        <v>44927</v>
      </c>
      <c r="B84" s="33">
        <v>119.00700000000001</v>
      </c>
      <c r="C84" s="9">
        <v>61</v>
      </c>
      <c r="D84" s="9">
        <f t="shared" si="0"/>
        <v>5.5251117258991354</v>
      </c>
      <c r="E84">
        <v>61</v>
      </c>
      <c r="F84">
        <v>61</v>
      </c>
      <c r="G84">
        <v>5.5251117259999996</v>
      </c>
      <c r="H84">
        <v>5.4925560966999996</v>
      </c>
      <c r="I84" t="s">
        <v>259</v>
      </c>
    </row>
    <row r="85" spans="1:9">
      <c r="A85" s="10">
        <v>44958</v>
      </c>
      <c r="B85" s="33">
        <v>119.401</v>
      </c>
      <c r="C85" s="9">
        <v>62</v>
      </c>
      <c r="D85" s="9">
        <f t="shared" si="0"/>
        <v>5.2093154402629249</v>
      </c>
      <c r="E85">
        <v>62</v>
      </c>
      <c r="F85">
        <v>62</v>
      </c>
      <c r="G85">
        <v>5.2093154400000001</v>
      </c>
      <c r="H85">
        <v>5.2507938136999996</v>
      </c>
      <c r="I85" t="s">
        <v>260</v>
      </c>
    </row>
    <row r="86" spans="1:9">
      <c r="A86" s="16">
        <v>44986</v>
      </c>
      <c r="B86" s="33">
        <v>119.553</v>
      </c>
      <c r="C86" s="14">
        <v>63</v>
      </c>
      <c r="D86" s="14">
        <f t="shared" si="0"/>
        <v>4.4231323533265146</v>
      </c>
      <c r="E86">
        <v>63</v>
      </c>
      <c r="F86">
        <v>63</v>
      </c>
      <c r="G86">
        <v>4.4231323529999997</v>
      </c>
      <c r="H86">
        <v>4.5600252061999997</v>
      </c>
      <c r="I86" t="s">
        <v>261</v>
      </c>
    </row>
    <row r="87" spans="1:9">
      <c r="A87" s="10">
        <v>45017</v>
      </c>
      <c r="B87" s="33">
        <v>119.97</v>
      </c>
      <c r="C87" s="9">
        <v>64</v>
      </c>
      <c r="D87" s="9">
        <f t="shared" si="0"/>
        <v>4.4625364621881669</v>
      </c>
      <c r="E87">
        <v>64</v>
      </c>
      <c r="F87">
        <v>64</v>
      </c>
      <c r="G87">
        <v>4.4625364620000001</v>
      </c>
      <c r="H87">
        <v>4.2300717911000003</v>
      </c>
      <c r="I87" t="s">
        <v>262</v>
      </c>
    </row>
    <row r="88" spans="1:9">
      <c r="A88" s="10">
        <v>45047</v>
      </c>
      <c r="B88" s="33">
        <v>120.14</v>
      </c>
      <c r="C88" s="9">
        <v>65</v>
      </c>
      <c r="D88" s="9">
        <f t="shared" si="0"/>
        <v>3.9795052881203361</v>
      </c>
      <c r="E88">
        <v>65</v>
      </c>
      <c r="F88">
        <v>65</v>
      </c>
      <c r="G88">
        <v>3.9795052879999999</v>
      </c>
      <c r="H88">
        <v>3.900118376</v>
      </c>
      <c r="I88" t="s">
        <v>263</v>
      </c>
    </row>
    <row r="89" spans="1:9">
      <c r="A89" s="10">
        <v>45078</v>
      </c>
      <c r="B89" s="33">
        <v>120.435</v>
      </c>
      <c r="C89" s="9">
        <v>66</v>
      </c>
      <c r="D89" s="9">
        <f t="shared" si="0"/>
        <v>3.2615685366669256</v>
      </c>
      <c r="E89">
        <v>66</v>
      </c>
      <c r="F89">
        <v>66</v>
      </c>
      <c r="G89">
        <v>3.261568537</v>
      </c>
      <c r="H89">
        <v>3.5701649609000001</v>
      </c>
      <c r="I89" t="s">
        <v>264</v>
      </c>
    </row>
    <row r="90" spans="1:9">
      <c r="A90" s="10">
        <v>45108</v>
      </c>
      <c r="B90" s="33">
        <v>120.598</v>
      </c>
      <c r="C90" s="9">
        <v>67</v>
      </c>
      <c r="D90" s="9">
        <f t="shared" ref="D90:D100" si="1">100*(B90-B78)/B78</f>
        <v>3.3738492396838669</v>
      </c>
      <c r="E90">
        <v>67</v>
      </c>
      <c r="F90">
        <v>67</v>
      </c>
      <c r="G90">
        <v>3.3738492400000002</v>
      </c>
      <c r="H90">
        <v>3.2402115457999998</v>
      </c>
      <c r="I90" t="s">
        <v>265</v>
      </c>
    </row>
    <row r="91" spans="1:9">
      <c r="A91" s="16">
        <v>45139</v>
      </c>
      <c r="B91" s="33">
        <v>120.965</v>
      </c>
      <c r="C91" s="14">
        <v>68</v>
      </c>
      <c r="D91" s="14">
        <f t="shared" si="1"/>
        <v>3.3871215876651752</v>
      </c>
      <c r="E91">
        <v>68</v>
      </c>
      <c r="F91">
        <v>68</v>
      </c>
      <c r="G91">
        <v>3.3871215879999998</v>
      </c>
      <c r="H91">
        <v>3.4573101756</v>
      </c>
      <c r="I91" t="s">
        <v>266</v>
      </c>
    </row>
    <row r="92" spans="1:9">
      <c r="A92" s="10">
        <v>45170</v>
      </c>
      <c r="B92" s="33">
        <v>121.387</v>
      </c>
      <c r="C92" s="9">
        <v>69</v>
      </c>
      <c r="D92" s="9">
        <f t="shared" si="1"/>
        <v>3.4163422135512111</v>
      </c>
      <c r="E92">
        <v>69</v>
      </c>
      <c r="F92">
        <v>69</v>
      </c>
      <c r="G92">
        <v>3.4163422140000002</v>
      </c>
      <c r="H92">
        <v>3.2487815328999998</v>
      </c>
      <c r="I92" t="s">
        <v>273</v>
      </c>
    </row>
    <row r="93" spans="1:9">
      <c r="A93" s="10">
        <v>45200</v>
      </c>
      <c r="B93" s="33">
        <v>121.42100000000001</v>
      </c>
      <c r="C93" s="9">
        <v>70</v>
      </c>
      <c r="D93" s="9">
        <f t="shared" si="1"/>
        <v>2.9942913369129118</v>
      </c>
      <c r="E93">
        <v>70</v>
      </c>
      <c r="F93">
        <v>70</v>
      </c>
      <c r="G93">
        <v>2.9942913369999999</v>
      </c>
      <c r="H93">
        <v>3.0402528902000001</v>
      </c>
      <c r="I93" t="s">
        <v>274</v>
      </c>
    </row>
    <row r="94" spans="1:9">
      <c r="A94" s="10">
        <v>45231</v>
      </c>
      <c r="B94" s="33">
        <v>121.41500000000001</v>
      </c>
      <c r="C94" s="9">
        <v>71</v>
      </c>
      <c r="D94" s="9">
        <f t="shared" si="1"/>
        <v>2.7017196606355913</v>
      </c>
      <c r="E94">
        <v>71</v>
      </c>
      <c r="F94">
        <v>71</v>
      </c>
      <c r="G94">
        <v>2.7017196609999998</v>
      </c>
      <c r="H94">
        <v>2.8317242475</v>
      </c>
      <c r="I94" t="s">
        <v>330</v>
      </c>
    </row>
    <row r="95" spans="1:9">
      <c r="A95" s="10">
        <v>45261</v>
      </c>
      <c r="B95" s="33">
        <v>121.602</v>
      </c>
      <c r="C95" s="9">
        <v>72</v>
      </c>
      <c r="D95" s="9">
        <f t="shared" si="1"/>
        <v>2.7017896506000674</v>
      </c>
      <c r="E95">
        <v>72</v>
      </c>
      <c r="F95">
        <v>72</v>
      </c>
      <c r="G95">
        <v>2.7017896509999999</v>
      </c>
      <c r="H95">
        <v>2.6231956047999998</v>
      </c>
      <c r="I95" t="s">
        <v>331</v>
      </c>
    </row>
    <row r="96" spans="1:9">
      <c r="A96" s="16">
        <v>45292</v>
      </c>
      <c r="B96" s="33">
        <v>122.11499999999999</v>
      </c>
      <c r="C96" s="14">
        <v>73</v>
      </c>
      <c r="D96" s="14">
        <f t="shared" si="1"/>
        <v>2.6116110817010676</v>
      </c>
      <c r="E96">
        <v>73</v>
      </c>
      <c r="F96">
        <v>73</v>
      </c>
      <c r="G96">
        <v>2.611611082</v>
      </c>
      <c r="H96">
        <v>2.7716413211000002</v>
      </c>
      <c r="I96" t="s">
        <v>332</v>
      </c>
    </row>
    <row r="97" spans="1:9">
      <c r="A97" s="10">
        <v>45323</v>
      </c>
      <c r="B97" s="33">
        <v>122.494</v>
      </c>
      <c r="C97" s="9">
        <v>74</v>
      </c>
      <c r="D97" s="9">
        <f t="shared" si="1"/>
        <v>2.5904305659081612</v>
      </c>
      <c r="E97">
        <v>74</v>
      </c>
      <c r="F97">
        <v>74</v>
      </c>
      <c r="G97">
        <v>2.5904305660000002</v>
      </c>
      <c r="H97">
        <v>2.7062235499999998</v>
      </c>
      <c r="I97" t="s">
        <v>339</v>
      </c>
    </row>
    <row r="98" spans="1:9">
      <c r="A98" s="10">
        <v>45352</v>
      </c>
      <c r="B98" s="33">
        <v>122.91200000000001</v>
      </c>
      <c r="C98" s="9">
        <v>75</v>
      </c>
      <c r="D98" s="9">
        <f t="shared" si="1"/>
        <v>2.8096325479076301</v>
      </c>
      <c r="E98">
        <v>75</v>
      </c>
      <c r="F98">
        <v>75</v>
      </c>
      <c r="G98">
        <v>2.8096325480000002</v>
      </c>
      <c r="H98">
        <v>2.6408057787999999</v>
      </c>
      <c r="I98" t="s">
        <v>340</v>
      </c>
    </row>
    <row r="99" spans="1:9">
      <c r="A99" s="10">
        <v>45383</v>
      </c>
      <c r="B99" s="33">
        <v>123.23399999999999</v>
      </c>
      <c r="C99" s="9">
        <v>76</v>
      </c>
      <c r="D99" s="9">
        <f t="shared" si="1"/>
        <v>2.720680170042507</v>
      </c>
      <c r="E99">
        <v>76</v>
      </c>
      <c r="F99">
        <v>76</v>
      </c>
      <c r="G99">
        <v>2.7206801700000001</v>
      </c>
      <c r="H99">
        <v>2.5753880077</v>
      </c>
      <c r="I99" t="s">
        <v>341</v>
      </c>
    </row>
    <row r="100" spans="1:9">
      <c r="A100" s="10">
        <v>45413</v>
      </c>
      <c r="B100" s="33">
        <v>123.224</v>
      </c>
      <c r="C100" s="9">
        <v>77</v>
      </c>
      <c r="D100" s="9">
        <f t="shared" si="1"/>
        <v>2.5670051606459157</v>
      </c>
      <c r="E100">
        <v>77</v>
      </c>
      <c r="F100">
        <v>77</v>
      </c>
      <c r="G100">
        <v>2.567005161</v>
      </c>
      <c r="H100">
        <v>2.5099702366000001</v>
      </c>
      <c r="I100" t="s">
        <v>342</v>
      </c>
    </row>
    <row r="101" spans="1:9">
      <c r="A101" s="10">
        <v>45444</v>
      </c>
      <c r="B101" s="33">
        <v>123.369</v>
      </c>
      <c r="C101" s="9">
        <v>78</v>
      </c>
      <c r="D101" s="9">
        <f>100*(B101-B89)/B89</f>
        <v>2.4361688877817889</v>
      </c>
      <c r="E101">
        <v>78</v>
      </c>
      <c r="F101">
        <v>78</v>
      </c>
      <c r="G101">
        <v>2.4361688880000001</v>
      </c>
      <c r="H101">
        <v>2.4445524654000002</v>
      </c>
      <c r="I101" t="s">
        <v>343</v>
      </c>
    </row>
    <row r="102" spans="1:9">
      <c r="A102" s="10">
        <v>45474</v>
      </c>
      <c r="B102" s="33">
        <v>123.575</v>
      </c>
      <c r="C102" s="9">
        <v>79</v>
      </c>
      <c r="D102" s="9">
        <f t="shared" ref="D102" si="2">100*(B102-B90)/B90</f>
        <v>2.4685318164480372</v>
      </c>
      <c r="E102">
        <v>79</v>
      </c>
      <c r="F102">
        <v>79</v>
      </c>
      <c r="G102">
        <v>2.468531816</v>
      </c>
      <c r="H102">
        <v>2.3791346942999998</v>
      </c>
    </row>
    <row r="103" spans="1:9">
      <c r="A103" s="10">
        <v>45505</v>
      </c>
      <c r="B103" s="33">
        <v>123.727</v>
      </c>
      <c r="C103" s="9">
        <v>80</v>
      </c>
      <c r="D103" s="9">
        <f>100*(B103-B91)/B91</f>
        <v>2.2833050882486674</v>
      </c>
      <c r="E103">
        <v>80</v>
      </c>
      <c r="F103">
        <v>80</v>
      </c>
      <c r="G103">
        <v>2.2833050880000001</v>
      </c>
      <c r="H103">
        <v>2.3137169231999999</v>
      </c>
    </row>
    <row r="104" spans="1:9">
      <c r="A104" s="10">
        <v>45536</v>
      </c>
      <c r="B104" s="33">
        <v>123.93899999999999</v>
      </c>
      <c r="C104" s="9">
        <v>81</v>
      </c>
      <c r="D104" s="9">
        <f t="shared" ref="D104" si="3">100*(B104-B92)/B92</f>
        <v>2.1023668102844559</v>
      </c>
      <c r="E104">
        <v>81</v>
      </c>
      <c r="F104">
        <v>81</v>
      </c>
      <c r="G104">
        <v>2.1023668099999999</v>
      </c>
      <c r="H104">
        <v>2.248299152</v>
      </c>
    </row>
    <row r="105" spans="1:9">
      <c r="A105" s="16">
        <v>45566</v>
      </c>
      <c r="B105" s="33">
        <v>124.265</v>
      </c>
      <c r="C105" s="14">
        <v>82</v>
      </c>
      <c r="D105" s="14">
        <f>100*(B105-B93)/B93</f>
        <v>2.3422636940891559</v>
      </c>
      <c r="E105">
        <v>82</v>
      </c>
      <c r="F105">
        <v>82</v>
      </c>
      <c r="G105">
        <v>2.3422636940000001</v>
      </c>
      <c r="H105">
        <v>2.3714901253999998</v>
      </c>
    </row>
    <row r="106" spans="1:9">
      <c r="A106" s="10">
        <v>45597</v>
      </c>
      <c r="B106" s="33">
        <v>124.399</v>
      </c>
      <c r="C106" s="9">
        <v>83</v>
      </c>
      <c r="D106" s="9">
        <f>100*(B106-B94)/B94</f>
        <v>2.4576864473088125</v>
      </c>
      <c r="E106">
        <v>83</v>
      </c>
      <c r="F106">
        <v>83</v>
      </c>
      <c r="G106">
        <v>2.4576864469999999</v>
      </c>
      <c r="H106">
        <v>2.4502603101</v>
      </c>
    </row>
    <row r="107" spans="1:9">
      <c r="A107" s="10">
        <v>45627</v>
      </c>
      <c r="B107" s="33">
        <v>124.76900000000001</v>
      </c>
      <c r="C107" s="9">
        <v>84</v>
      </c>
      <c r="D107" s="9">
        <f>100*(B107-B95)/B95</f>
        <v>2.6043979539810214</v>
      </c>
      <c r="E107">
        <v>84</v>
      </c>
      <c r="F107">
        <v>84</v>
      </c>
      <c r="G107">
        <v>2.604397954</v>
      </c>
      <c r="H107">
        <v>2.5290304948000002</v>
      </c>
    </row>
    <row r="108" spans="1:9">
      <c r="A108" s="10">
        <v>45658</v>
      </c>
      <c r="B108" s="33">
        <v>125.23099999999999</v>
      </c>
      <c r="C108" s="9">
        <v>85</v>
      </c>
      <c r="D108" s="9">
        <f>100*(B108-B96)/B96</f>
        <v>2.5516930761986649</v>
      </c>
      <c r="E108">
        <v>85</v>
      </c>
      <c r="F108">
        <v>85</v>
      </c>
      <c r="G108">
        <v>2.5516930759999998</v>
      </c>
      <c r="H108">
        <v>2.6078006794999999</v>
      </c>
    </row>
    <row r="109" spans="1:9">
      <c r="A109" s="10">
        <v>45689</v>
      </c>
      <c r="B109" s="33">
        <v>125.788</v>
      </c>
      <c r="C109" s="9">
        <v>86</v>
      </c>
      <c r="D109" s="9">
        <f>100*(B109-B97)/B97</f>
        <v>2.689111303410777</v>
      </c>
      <c r="E109">
        <v>86</v>
      </c>
      <c r="F109">
        <v>86</v>
      </c>
      <c r="G109">
        <v>2.6891113029999998</v>
      </c>
      <c r="H109">
        <v>2.6865708642000001</v>
      </c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56E5-CF6C-4790-8F6B-1D94FDC49E61}">
  <dimension ref="A1:I108"/>
  <sheetViews>
    <sheetView topLeftCell="A92" workbookViewId="0">
      <selection activeCell="I100" sqref="I100:I108"/>
    </sheetView>
  </sheetViews>
  <sheetFormatPr defaultRowHeight="13.2"/>
  <cols>
    <col min="1" max="1" width="16.77734375" bestFit="1" customWidth="1"/>
    <col min="3" max="3" width="4.21875" customWidth="1"/>
    <col min="5" max="6" width="3.5546875" bestFit="1" customWidth="1"/>
  </cols>
  <sheetData>
    <row r="1" spans="1:3">
      <c r="A1" t="s">
        <v>0</v>
      </c>
    </row>
    <row r="2" spans="1:3">
      <c r="A2" t="s">
        <v>302</v>
      </c>
    </row>
    <row r="3" spans="1:3">
      <c r="A3" t="s">
        <v>2</v>
      </c>
    </row>
    <row r="4" spans="1:3">
      <c r="A4" t="s">
        <v>3</v>
      </c>
    </row>
    <row r="5" spans="1:3">
      <c r="A5" t="s">
        <v>303</v>
      </c>
    </row>
    <row r="6" spans="1:3">
      <c r="A6" t="s">
        <v>319</v>
      </c>
    </row>
    <row r="8" spans="1:3">
      <c r="A8" t="s">
        <v>6</v>
      </c>
      <c r="B8" t="s">
        <v>7</v>
      </c>
      <c r="C8" t="s">
        <v>320</v>
      </c>
    </row>
    <row r="11" spans="1:3" ht="15">
      <c r="A11" s="44" t="s">
        <v>9</v>
      </c>
      <c r="B11" s="44" t="s">
        <v>6</v>
      </c>
    </row>
    <row r="12" spans="1:3" ht="15">
      <c r="A12" s="45">
        <v>42736</v>
      </c>
      <c r="B12" s="43">
        <v>99.450999999999993</v>
      </c>
    </row>
    <row r="13" spans="1:3" ht="15">
      <c r="A13" s="45">
        <v>42767</v>
      </c>
      <c r="B13" s="43">
        <v>99.585999999999999</v>
      </c>
    </row>
    <row r="14" spans="1:3" ht="15">
      <c r="A14" s="45">
        <v>42795</v>
      </c>
      <c r="B14" s="43">
        <v>99.534999999999997</v>
      </c>
    </row>
    <row r="15" spans="1:3" ht="15">
      <c r="A15" s="45">
        <v>42826</v>
      </c>
      <c r="B15" s="43">
        <v>99.724999999999994</v>
      </c>
    </row>
    <row r="16" spans="1:3" ht="15">
      <c r="A16" s="45">
        <v>42856</v>
      </c>
      <c r="B16" s="43">
        <v>99.682000000000002</v>
      </c>
    </row>
    <row r="17" spans="1:9" ht="15">
      <c r="A17" s="45">
        <v>42887</v>
      </c>
      <c r="B17" s="43">
        <v>99.766000000000005</v>
      </c>
    </row>
    <row r="18" spans="1:9" ht="15">
      <c r="A18" s="45">
        <v>42917</v>
      </c>
      <c r="B18" s="43">
        <v>99.802999999999997</v>
      </c>
    </row>
    <row r="19" spans="1:9" ht="15">
      <c r="A19" s="45">
        <v>42948</v>
      </c>
      <c r="B19" s="43">
        <v>100.027</v>
      </c>
    </row>
    <row r="20" spans="1:9" ht="15">
      <c r="A20" s="45">
        <v>42979</v>
      </c>
      <c r="B20" s="43">
        <v>100.4</v>
      </c>
    </row>
    <row r="21" spans="1:9" ht="15">
      <c r="A21" s="45">
        <v>43009</v>
      </c>
      <c r="B21" s="43">
        <v>100.53100000000001</v>
      </c>
    </row>
    <row r="22" spans="1:9" ht="15">
      <c r="A22" s="45">
        <v>43040</v>
      </c>
      <c r="B22" s="43">
        <v>100.675</v>
      </c>
    </row>
    <row r="23" spans="1:9" ht="15">
      <c r="A23" s="45">
        <v>43070</v>
      </c>
      <c r="B23" s="43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5">
      <c r="A24" s="10">
        <v>43101</v>
      </c>
      <c r="B24" s="43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 ht="15">
      <c r="A25" s="10">
        <v>43132</v>
      </c>
      <c r="B25" s="43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321</v>
      </c>
    </row>
    <row r="26" spans="1:9" ht="15">
      <c r="A26" s="10">
        <v>43160</v>
      </c>
      <c r="B26" s="43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 ht="15">
      <c r="A27" s="10">
        <v>43191</v>
      </c>
      <c r="B27" s="43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 ht="15">
      <c r="A28" s="10">
        <v>43221</v>
      </c>
      <c r="B28" s="43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 ht="15">
      <c r="A29" s="16">
        <v>43252</v>
      </c>
      <c r="B29" s="43">
        <v>102.029</v>
      </c>
      <c r="C29" s="14">
        <v>6</v>
      </c>
      <c r="D29" s="14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 ht="15">
      <c r="A30" s="10">
        <v>43282</v>
      </c>
      <c r="B30" s="43">
        <v>102.137</v>
      </c>
      <c r="C30" s="9">
        <v>7</v>
      </c>
      <c r="D30" s="9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 ht="15">
      <c r="A31" s="10">
        <v>43313</v>
      </c>
      <c r="B31" s="43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 ht="15">
      <c r="A32" s="10">
        <v>43344</v>
      </c>
      <c r="B32" s="43">
        <v>102.41800000000001</v>
      </c>
      <c r="C32" s="9">
        <v>9</v>
      </c>
      <c r="D32" s="9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 ht="15">
      <c r="A33" s="10">
        <v>43374</v>
      </c>
      <c r="B33" s="43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 ht="15">
      <c r="A34" s="10">
        <v>43405</v>
      </c>
      <c r="B34" s="43">
        <v>102.63</v>
      </c>
      <c r="C34" s="9">
        <v>11</v>
      </c>
      <c r="D34" s="9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 ht="15">
      <c r="A35" s="10">
        <v>43435</v>
      </c>
      <c r="B35" s="43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 ht="15">
      <c r="A36" s="16">
        <v>43466</v>
      </c>
      <c r="B36" s="43">
        <v>102.648</v>
      </c>
      <c r="C36" s="14">
        <v>13</v>
      </c>
      <c r="D36" s="14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 ht="15">
      <c r="A37" s="10">
        <v>43497</v>
      </c>
      <c r="B37" s="43">
        <v>102.836</v>
      </c>
      <c r="C37" s="9">
        <v>14</v>
      </c>
      <c r="D37" s="9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 ht="15">
      <c r="A38" s="10">
        <v>43525</v>
      </c>
      <c r="B38" s="43">
        <v>103.069</v>
      </c>
      <c r="C38" s="9">
        <v>15</v>
      </c>
      <c r="D38" s="9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 ht="15">
      <c r="A39" s="10">
        <v>43556</v>
      </c>
      <c r="B39" s="43">
        <v>103.36</v>
      </c>
      <c r="C39" s="9">
        <v>16</v>
      </c>
      <c r="D39" s="9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 ht="15">
      <c r="A40" s="10">
        <v>43586</v>
      </c>
      <c r="B40" s="43">
        <v>103.435</v>
      </c>
      <c r="C40" s="9">
        <v>17</v>
      </c>
      <c r="D40" s="9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 ht="15">
      <c r="A41" s="16">
        <v>43617</v>
      </c>
      <c r="B41" s="43">
        <v>103.48399999999999</v>
      </c>
      <c r="C41" s="14">
        <v>18</v>
      </c>
      <c r="D41" s="14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 ht="15">
      <c r="A42" s="10">
        <v>43647</v>
      </c>
      <c r="B42" s="43">
        <v>103.622</v>
      </c>
      <c r="C42" s="9">
        <v>19</v>
      </c>
      <c r="D42" s="9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 ht="15">
      <c r="A43" s="10">
        <v>43678</v>
      </c>
      <c r="B43" s="43">
        <v>103.67</v>
      </c>
      <c r="C43" s="9">
        <v>20</v>
      </c>
      <c r="D43" s="9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 ht="15">
      <c r="A44" s="10">
        <v>43709</v>
      </c>
      <c r="B44" s="43">
        <v>103.733</v>
      </c>
      <c r="C44" s="9">
        <v>21</v>
      </c>
      <c r="D44" s="9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 ht="15">
      <c r="A45" s="10">
        <v>43739</v>
      </c>
      <c r="B45" s="43">
        <v>103.917</v>
      </c>
      <c r="C45" s="9">
        <v>22</v>
      </c>
      <c r="D45" s="9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 ht="15">
      <c r="A46" s="16">
        <v>43770</v>
      </c>
      <c r="B46" s="43">
        <v>104.024</v>
      </c>
      <c r="C46" s="14">
        <v>23</v>
      </c>
      <c r="D46" s="14">
        <f t="shared" si="0"/>
        <v>1.3582773068303668</v>
      </c>
      <c r="E46">
        <v>23</v>
      </c>
      <c r="F46">
        <v>23</v>
      </c>
      <c r="G46">
        <v>1.358277307</v>
      </c>
      <c r="H46">
        <v>1.7312877777</v>
      </c>
      <c r="I46" t="s">
        <v>223</v>
      </c>
    </row>
    <row r="47" spans="1:9" ht="15">
      <c r="A47" s="10">
        <v>43800</v>
      </c>
      <c r="B47" s="43">
        <v>104.307</v>
      </c>
      <c r="C47" s="9">
        <v>24</v>
      </c>
      <c r="D47" s="9">
        <f t="shared" si="0"/>
        <v>1.5637627676458932</v>
      </c>
      <c r="E47">
        <v>24</v>
      </c>
      <c r="F47">
        <v>24</v>
      </c>
      <c r="G47">
        <v>1.5637627679999999</v>
      </c>
      <c r="H47">
        <v>1.5609958544</v>
      </c>
      <c r="I47" t="s">
        <v>224</v>
      </c>
    </row>
    <row r="48" spans="1:9" ht="15">
      <c r="A48" s="10">
        <v>43831</v>
      </c>
      <c r="B48" s="43">
        <v>104.419</v>
      </c>
      <c r="C48" s="9">
        <v>25</v>
      </c>
      <c r="D48" s="9">
        <f t="shared" si="0"/>
        <v>1.7253136933988007</v>
      </c>
      <c r="E48">
        <v>25</v>
      </c>
      <c r="F48">
        <v>25</v>
      </c>
      <c r="G48">
        <v>1.7253136929999999</v>
      </c>
      <c r="H48">
        <v>1.3907039311</v>
      </c>
      <c r="I48" t="s">
        <v>225</v>
      </c>
    </row>
    <row r="49" spans="1:9" ht="15">
      <c r="A49" s="10">
        <v>43862</v>
      </c>
      <c r="B49" s="43">
        <v>104.541</v>
      </c>
      <c r="C49" s="9">
        <v>26</v>
      </c>
      <c r="D49" s="9">
        <f t="shared" si="0"/>
        <v>1.6579796958263626</v>
      </c>
      <c r="E49">
        <v>26</v>
      </c>
      <c r="F49">
        <v>26</v>
      </c>
      <c r="G49">
        <v>1.6579796959999999</v>
      </c>
      <c r="H49">
        <v>1.2204120079</v>
      </c>
      <c r="I49" t="s">
        <v>226</v>
      </c>
    </row>
    <row r="50" spans="1:9" ht="15">
      <c r="A50" s="10">
        <v>43891</v>
      </c>
      <c r="B50" s="43">
        <v>104.252</v>
      </c>
      <c r="C50" s="9">
        <v>27</v>
      </c>
      <c r="D50" s="9">
        <f t="shared" si="0"/>
        <v>1.1477747916444252</v>
      </c>
      <c r="E50">
        <v>27</v>
      </c>
      <c r="F50">
        <v>27</v>
      </c>
      <c r="G50">
        <v>1.1477747920000001</v>
      </c>
      <c r="H50">
        <v>1.0501200846000001</v>
      </c>
      <c r="I50" t="s">
        <v>227</v>
      </c>
    </row>
    <row r="51" spans="1:9" ht="15">
      <c r="A51" s="10">
        <v>43922</v>
      </c>
      <c r="B51" s="43">
        <v>103.81699999999999</v>
      </c>
      <c r="C51" s="9">
        <v>28</v>
      </c>
      <c r="D51" s="9">
        <f t="shared" si="0"/>
        <v>0.44214396284829105</v>
      </c>
      <c r="E51">
        <v>28</v>
      </c>
      <c r="F51">
        <v>28</v>
      </c>
      <c r="G51">
        <v>0.44214396299999997</v>
      </c>
      <c r="H51">
        <v>0.87982816139999998</v>
      </c>
      <c r="I51" t="s">
        <v>228</v>
      </c>
    </row>
    <row r="52" spans="1:9" ht="15">
      <c r="A52" s="10">
        <v>43952</v>
      </c>
      <c r="B52" s="43">
        <v>103.914</v>
      </c>
      <c r="C52" s="9">
        <v>29</v>
      </c>
      <c r="D52" s="9">
        <f t="shared" si="0"/>
        <v>0.46309276357132423</v>
      </c>
      <c r="E52">
        <v>29</v>
      </c>
      <c r="F52">
        <v>29</v>
      </c>
      <c r="G52">
        <v>0.46309276399999999</v>
      </c>
      <c r="H52">
        <v>0.70953623809999999</v>
      </c>
      <c r="I52" t="s">
        <v>229</v>
      </c>
    </row>
    <row r="53" spans="1:9" ht="15">
      <c r="A53" s="10">
        <v>43983</v>
      </c>
      <c r="B53" s="43">
        <v>104.233</v>
      </c>
      <c r="C53" s="9">
        <v>30</v>
      </c>
      <c r="D53" s="9">
        <f t="shared" si="0"/>
        <v>0.7237833868037663</v>
      </c>
      <c r="E53">
        <v>30</v>
      </c>
      <c r="F53">
        <v>30</v>
      </c>
      <c r="G53">
        <v>0.723783387</v>
      </c>
      <c r="H53">
        <v>0.53924431480000001</v>
      </c>
      <c r="I53" t="s">
        <v>230</v>
      </c>
    </row>
    <row r="54" spans="1:9" ht="15">
      <c r="A54" s="16">
        <v>44013</v>
      </c>
      <c r="B54" s="43">
        <v>104.56399999999999</v>
      </c>
      <c r="C54" s="14">
        <v>31</v>
      </c>
      <c r="D54" s="14">
        <f t="shared" si="0"/>
        <v>0.90907336279939888</v>
      </c>
      <c r="E54">
        <v>31</v>
      </c>
      <c r="F54">
        <v>31</v>
      </c>
      <c r="G54">
        <v>0.90907336299999997</v>
      </c>
      <c r="H54">
        <v>0.93293996089999998</v>
      </c>
      <c r="I54" t="s">
        <v>231</v>
      </c>
    </row>
    <row r="55" spans="1:9" ht="15">
      <c r="A55" s="10">
        <v>44044</v>
      </c>
      <c r="B55" s="43">
        <v>104.887</v>
      </c>
      <c r="C55" s="9">
        <v>32</v>
      </c>
      <c r="D55" s="9">
        <f t="shared" si="0"/>
        <v>1.1739172373878641</v>
      </c>
      <c r="E55">
        <v>32</v>
      </c>
      <c r="F55">
        <v>32</v>
      </c>
      <c r="G55">
        <v>1.1739172369999999</v>
      </c>
      <c r="H55">
        <v>1.0382822183</v>
      </c>
      <c r="I55" t="s">
        <v>232</v>
      </c>
    </row>
    <row r="56" spans="1:9" ht="15">
      <c r="A56" s="10">
        <v>44075</v>
      </c>
      <c r="B56" s="43">
        <v>105.04600000000001</v>
      </c>
      <c r="C56" s="9">
        <v>33</v>
      </c>
      <c r="D56" s="9">
        <f t="shared" si="0"/>
        <v>1.2657495686040146</v>
      </c>
      <c r="E56">
        <v>33</v>
      </c>
      <c r="F56">
        <v>33</v>
      </c>
      <c r="G56">
        <v>1.265749569</v>
      </c>
      <c r="H56">
        <v>1.1436244756</v>
      </c>
      <c r="I56" t="s">
        <v>233</v>
      </c>
    </row>
    <row r="57" spans="1:9" ht="15">
      <c r="A57" s="10">
        <v>44105</v>
      </c>
      <c r="B57" s="43">
        <v>105.10599999999999</v>
      </c>
      <c r="C57" s="9">
        <v>34</v>
      </c>
      <c r="D57" s="9">
        <f t="shared" si="0"/>
        <v>1.144182376319556</v>
      </c>
      <c r="E57">
        <v>34</v>
      </c>
      <c r="F57">
        <v>34</v>
      </c>
      <c r="G57">
        <v>1.1441823760000001</v>
      </c>
      <c r="H57">
        <v>1.2489667330000001</v>
      </c>
      <c r="I57" t="s">
        <v>234</v>
      </c>
    </row>
    <row r="58" spans="1:9" ht="15">
      <c r="A58" s="10">
        <v>44136</v>
      </c>
      <c r="B58" s="43">
        <v>105.22499999999999</v>
      </c>
      <c r="C58" s="9">
        <v>35</v>
      </c>
      <c r="D58" s="9">
        <f t="shared" si="0"/>
        <v>1.1545412597092914</v>
      </c>
      <c r="E58">
        <v>35</v>
      </c>
      <c r="F58">
        <v>35</v>
      </c>
      <c r="G58">
        <v>1.15454126</v>
      </c>
      <c r="H58">
        <v>1.3543089903000001</v>
      </c>
      <c r="I58" t="s">
        <v>109</v>
      </c>
    </row>
    <row r="59" spans="1:9" ht="15">
      <c r="A59" s="10">
        <v>44166</v>
      </c>
      <c r="B59" s="43">
        <v>105.69</v>
      </c>
      <c r="C59" s="9">
        <v>36</v>
      </c>
      <c r="D59" s="9">
        <f t="shared" si="0"/>
        <v>1.3258937559320041</v>
      </c>
      <c r="E59">
        <v>36</v>
      </c>
      <c r="F59">
        <v>36</v>
      </c>
      <c r="G59">
        <v>1.3258937559999999</v>
      </c>
      <c r="H59">
        <v>1.4596512476000001</v>
      </c>
      <c r="I59" t="s">
        <v>235</v>
      </c>
    </row>
    <row r="60" spans="1:9" ht="15">
      <c r="A60" s="10">
        <v>44197</v>
      </c>
      <c r="B60" s="43">
        <v>106.083</v>
      </c>
      <c r="C60" s="9">
        <v>37</v>
      </c>
      <c r="D60" s="9">
        <f t="shared" si="0"/>
        <v>1.5935797125044306</v>
      </c>
      <c r="E60">
        <v>37</v>
      </c>
      <c r="F60">
        <v>37</v>
      </c>
      <c r="G60">
        <v>1.593579713</v>
      </c>
      <c r="H60">
        <v>1.5649935049999999</v>
      </c>
      <c r="I60" t="s">
        <v>236</v>
      </c>
    </row>
    <row r="61" spans="1:9" ht="15">
      <c r="A61" s="10">
        <v>44228</v>
      </c>
      <c r="B61" s="43">
        <v>106.471</v>
      </c>
      <c r="C61" s="9">
        <v>38</v>
      </c>
      <c r="D61" s="9">
        <f t="shared" si="0"/>
        <v>1.846165619230739</v>
      </c>
      <c r="E61">
        <v>38</v>
      </c>
      <c r="F61">
        <v>38</v>
      </c>
      <c r="G61">
        <v>1.846165619</v>
      </c>
      <c r="H61">
        <v>1.6703357622999999</v>
      </c>
      <c r="I61" t="s">
        <v>237</v>
      </c>
    </row>
    <row r="62" spans="1:9" ht="15">
      <c r="A62" s="16">
        <v>44256</v>
      </c>
      <c r="B62" s="43">
        <v>107.032</v>
      </c>
      <c r="C62" s="14">
        <v>39</v>
      </c>
      <c r="D62" s="14">
        <f t="shared" si="0"/>
        <v>2.6666155085753762</v>
      </c>
      <c r="E62">
        <v>39</v>
      </c>
      <c r="F62">
        <v>39</v>
      </c>
      <c r="G62">
        <v>2.6666155090000001</v>
      </c>
      <c r="H62">
        <v>2.9906219456000001</v>
      </c>
      <c r="I62" t="s">
        <v>238</v>
      </c>
    </row>
    <row r="63" spans="1:9" ht="15">
      <c r="A63" s="10">
        <v>44287</v>
      </c>
      <c r="B63" s="43">
        <v>107.63200000000001</v>
      </c>
      <c r="C63" s="9">
        <v>40</v>
      </c>
      <c r="D63" s="9">
        <f t="shared" si="0"/>
        <v>3.6747353516283576</v>
      </c>
      <c r="E63">
        <v>40</v>
      </c>
      <c r="F63">
        <v>40</v>
      </c>
      <c r="G63">
        <v>3.6747353519999999</v>
      </c>
      <c r="H63">
        <v>3.4240644095000001</v>
      </c>
      <c r="I63" t="s">
        <v>110</v>
      </c>
    </row>
    <row r="64" spans="1:9" ht="15">
      <c r="A64" s="10">
        <v>44317</v>
      </c>
      <c r="B64" s="43">
        <v>108.184</v>
      </c>
      <c r="C64" s="9">
        <v>41</v>
      </c>
      <c r="D64" s="9">
        <f t="shared" si="0"/>
        <v>4.1091671959504934</v>
      </c>
      <c r="E64">
        <v>41</v>
      </c>
      <c r="F64">
        <v>41</v>
      </c>
      <c r="G64">
        <v>4.1091671959999996</v>
      </c>
      <c r="H64">
        <v>3.8575068734000002</v>
      </c>
      <c r="I64" t="s">
        <v>239</v>
      </c>
    </row>
    <row r="65" spans="1:9" ht="15">
      <c r="A65" s="10">
        <v>44348</v>
      </c>
      <c r="B65" s="43">
        <v>108.748</v>
      </c>
      <c r="C65" s="9">
        <v>42</v>
      </c>
      <c r="D65" s="9">
        <f t="shared" si="0"/>
        <v>4.3316416106223556</v>
      </c>
      <c r="E65">
        <v>42</v>
      </c>
      <c r="F65">
        <v>42</v>
      </c>
      <c r="G65">
        <v>4.3316416110000002</v>
      </c>
      <c r="H65">
        <v>4.2909493372999998</v>
      </c>
      <c r="I65" t="s">
        <v>240</v>
      </c>
    </row>
    <row r="66" spans="1:9" ht="15">
      <c r="A66" s="10">
        <v>44378</v>
      </c>
      <c r="B66" s="43">
        <v>109.27500000000001</v>
      </c>
      <c r="C66" s="9">
        <v>43</v>
      </c>
      <c r="D66" s="9">
        <f t="shared" si="0"/>
        <v>4.5053746987491037</v>
      </c>
      <c r="E66">
        <v>43</v>
      </c>
      <c r="F66">
        <v>43</v>
      </c>
      <c r="G66">
        <v>4.5053746989999999</v>
      </c>
      <c r="H66">
        <v>4.7243918012000004</v>
      </c>
      <c r="I66" t="s">
        <v>241</v>
      </c>
    </row>
    <row r="67" spans="1:9" ht="15">
      <c r="A67" s="16">
        <v>44409</v>
      </c>
      <c r="B67" s="43">
        <v>109.72</v>
      </c>
      <c r="C67" s="14">
        <v>44</v>
      </c>
      <c r="D67" s="14">
        <f t="shared" si="0"/>
        <v>4.6078160305852949</v>
      </c>
      <c r="E67">
        <v>44</v>
      </c>
      <c r="F67">
        <v>44</v>
      </c>
      <c r="G67">
        <v>4.6078160309999996</v>
      </c>
      <c r="H67">
        <v>4.5053705653999998</v>
      </c>
      <c r="I67" t="s">
        <v>242</v>
      </c>
    </row>
    <row r="68" spans="1:9" ht="15">
      <c r="A68" s="10">
        <v>44440</v>
      </c>
      <c r="B68" s="43">
        <v>110.047</v>
      </c>
      <c r="C68" s="9">
        <v>45</v>
      </c>
      <c r="D68" s="9">
        <f t="shared" si="0"/>
        <v>4.7607714715457901</v>
      </c>
      <c r="E68">
        <v>45</v>
      </c>
      <c r="F68">
        <v>45</v>
      </c>
      <c r="G68">
        <v>4.7607714720000001</v>
      </c>
      <c r="H68">
        <v>4.9409002427999997</v>
      </c>
      <c r="I68" t="s">
        <v>243</v>
      </c>
    </row>
    <row r="69" spans="1:9" ht="15">
      <c r="A69" s="10">
        <v>44470</v>
      </c>
      <c r="B69" s="43">
        <v>110.741</v>
      </c>
      <c r="C69" s="9">
        <v>46</v>
      </c>
      <c r="D69" s="9">
        <f t="shared" si="0"/>
        <v>5.3612543527486585</v>
      </c>
      <c r="E69">
        <v>46</v>
      </c>
      <c r="F69">
        <v>46</v>
      </c>
      <c r="G69">
        <v>5.3612543529999996</v>
      </c>
      <c r="H69">
        <v>5.3764299201999997</v>
      </c>
      <c r="I69" t="s">
        <v>244</v>
      </c>
    </row>
    <row r="70" spans="1:9" ht="15">
      <c r="A70" s="10">
        <v>44501</v>
      </c>
      <c r="B70" s="43">
        <v>111.51</v>
      </c>
      <c r="C70" s="9">
        <v>47</v>
      </c>
      <c r="D70" s="9">
        <f t="shared" si="0"/>
        <v>5.9729151817533968</v>
      </c>
      <c r="E70">
        <v>47</v>
      </c>
      <c r="F70">
        <v>47</v>
      </c>
      <c r="G70">
        <v>5.9729151820000004</v>
      </c>
      <c r="H70">
        <v>5.8119595975999996</v>
      </c>
      <c r="I70" t="s">
        <v>245</v>
      </c>
    </row>
    <row r="71" spans="1:9" ht="15">
      <c r="A71" s="10">
        <v>44531</v>
      </c>
      <c r="B71" s="43">
        <v>112.221</v>
      </c>
      <c r="C71" s="9">
        <v>48</v>
      </c>
      <c r="D71" s="9">
        <f t="shared" si="0"/>
        <v>6.1793925631564068</v>
      </c>
      <c r="E71">
        <v>48</v>
      </c>
      <c r="F71">
        <v>48</v>
      </c>
      <c r="G71">
        <v>6.1793925630000004</v>
      </c>
      <c r="H71">
        <v>6.2474892750000004</v>
      </c>
      <c r="I71" t="s">
        <v>246</v>
      </c>
    </row>
    <row r="72" spans="1:9" ht="15">
      <c r="A72" s="16">
        <v>44562</v>
      </c>
      <c r="B72" s="43">
        <v>112.776</v>
      </c>
      <c r="C72" s="14">
        <v>49</v>
      </c>
      <c r="D72" s="14">
        <f t="shared" si="0"/>
        <v>6.3092107123667294</v>
      </c>
      <c r="E72">
        <v>49</v>
      </c>
      <c r="F72">
        <v>49</v>
      </c>
      <c r="G72">
        <v>6.3092107119999996</v>
      </c>
      <c r="H72">
        <v>6.4083166605999997</v>
      </c>
      <c r="I72" t="s">
        <v>247</v>
      </c>
    </row>
    <row r="73" spans="1:9" ht="15">
      <c r="A73" s="10">
        <v>44593</v>
      </c>
      <c r="B73" s="43">
        <v>113.489</v>
      </c>
      <c r="C73" s="9">
        <v>50</v>
      </c>
      <c r="D73" s="9">
        <f t="shared" si="0"/>
        <v>6.5914662208488703</v>
      </c>
      <c r="E73">
        <v>50</v>
      </c>
      <c r="F73">
        <v>50</v>
      </c>
      <c r="G73">
        <v>6.5914662210000001</v>
      </c>
      <c r="H73">
        <v>6.5529590067000001</v>
      </c>
      <c r="I73" t="s">
        <v>248</v>
      </c>
    </row>
    <row r="74" spans="1:9" ht="15">
      <c r="A74" s="10">
        <v>44621</v>
      </c>
      <c r="B74" s="43">
        <v>114.489</v>
      </c>
      <c r="C74" s="9">
        <v>51</v>
      </c>
      <c r="D74" s="9">
        <f t="shared" si="0"/>
        <v>6.9670752672098137</v>
      </c>
      <c r="E74">
        <v>51</v>
      </c>
      <c r="F74">
        <v>51</v>
      </c>
      <c r="G74">
        <v>6.9670752670000002</v>
      </c>
      <c r="H74">
        <v>6.6976013527999996</v>
      </c>
      <c r="I74" t="s">
        <v>249</v>
      </c>
    </row>
    <row r="75" spans="1:9" ht="15">
      <c r="A75" s="10">
        <v>44652</v>
      </c>
      <c r="B75" s="43">
        <v>114.845</v>
      </c>
      <c r="C75" s="9">
        <v>52</v>
      </c>
      <c r="D75" s="9">
        <f t="shared" si="0"/>
        <v>6.7015385758882058</v>
      </c>
      <c r="E75">
        <v>52</v>
      </c>
      <c r="F75">
        <v>52</v>
      </c>
      <c r="G75">
        <v>6.7015385759999999</v>
      </c>
      <c r="H75">
        <v>6.8422436988999999</v>
      </c>
      <c r="I75" t="s">
        <v>250</v>
      </c>
    </row>
    <row r="76" spans="1:9" ht="15">
      <c r="A76" s="10">
        <v>44682</v>
      </c>
      <c r="B76" s="43">
        <v>115.542</v>
      </c>
      <c r="C76" s="9">
        <v>53</v>
      </c>
      <c r="D76" s="9">
        <f t="shared" si="0"/>
        <v>6.8013754344450232</v>
      </c>
      <c r="E76">
        <v>53</v>
      </c>
      <c r="F76">
        <v>53</v>
      </c>
      <c r="G76">
        <v>6.8013754339999997</v>
      </c>
      <c r="H76">
        <v>6.9868860450000003</v>
      </c>
      <c r="I76" t="s">
        <v>251</v>
      </c>
    </row>
    <row r="77" spans="1:9" ht="15">
      <c r="A77" s="10">
        <v>44713</v>
      </c>
      <c r="B77" s="43">
        <v>116.631</v>
      </c>
      <c r="C77" s="9">
        <v>54</v>
      </c>
      <c r="D77" s="9">
        <f t="shared" si="0"/>
        <v>7.2488689447162198</v>
      </c>
      <c r="E77">
        <v>54</v>
      </c>
      <c r="F77">
        <v>54</v>
      </c>
      <c r="G77">
        <v>7.2488689449999999</v>
      </c>
      <c r="H77">
        <v>7.1315283909999998</v>
      </c>
      <c r="I77" t="s">
        <v>252</v>
      </c>
    </row>
    <row r="78" spans="1:9" ht="15">
      <c r="A78" s="16">
        <v>44743</v>
      </c>
      <c r="B78" s="43">
        <v>116.66200000000001</v>
      </c>
      <c r="C78" s="14">
        <v>55</v>
      </c>
      <c r="D78" s="14">
        <f t="shared" si="0"/>
        <v>6.7600091512239766</v>
      </c>
      <c r="E78">
        <v>55</v>
      </c>
      <c r="F78">
        <v>55</v>
      </c>
      <c r="G78">
        <v>6.7600091510000002</v>
      </c>
      <c r="H78">
        <v>6.9431297947999999</v>
      </c>
      <c r="I78" t="s">
        <v>253</v>
      </c>
    </row>
    <row r="79" spans="1:9" ht="15">
      <c r="A79" s="10">
        <v>44774</v>
      </c>
      <c r="B79" s="43">
        <v>117.002</v>
      </c>
      <c r="C79" s="9">
        <v>56</v>
      </c>
      <c r="D79" s="9">
        <f t="shared" si="0"/>
        <v>6.6368939117754246</v>
      </c>
      <c r="E79">
        <v>56</v>
      </c>
      <c r="F79">
        <v>56</v>
      </c>
      <c r="G79">
        <v>6.6368939119999997</v>
      </c>
      <c r="H79">
        <v>6.7013675118</v>
      </c>
      <c r="I79" t="s">
        <v>254</v>
      </c>
    </row>
    <row r="80" spans="1:9" ht="15">
      <c r="A80" s="10">
        <v>44805</v>
      </c>
      <c r="B80" s="43">
        <v>117.377</v>
      </c>
      <c r="C80" s="9">
        <v>57</v>
      </c>
      <c r="D80" s="9">
        <f t="shared" si="0"/>
        <v>6.6607903895608223</v>
      </c>
      <c r="E80">
        <v>57</v>
      </c>
      <c r="F80">
        <v>57</v>
      </c>
      <c r="G80">
        <v>6.6607903899999998</v>
      </c>
      <c r="H80">
        <v>6.4596052288000001</v>
      </c>
      <c r="I80" t="s">
        <v>255</v>
      </c>
    </row>
    <row r="81" spans="1:9" ht="15">
      <c r="A81" s="10">
        <v>44835</v>
      </c>
      <c r="B81" s="43">
        <v>117.89100000000001</v>
      </c>
      <c r="C81" s="9">
        <v>58</v>
      </c>
      <c r="D81" s="9">
        <f t="shared" si="0"/>
        <v>6.4565066235630937</v>
      </c>
      <c r="E81">
        <v>58</v>
      </c>
      <c r="F81">
        <v>58</v>
      </c>
      <c r="G81">
        <v>6.4565066240000002</v>
      </c>
      <c r="H81">
        <v>6.2178429458000002</v>
      </c>
      <c r="I81" t="s">
        <v>256</v>
      </c>
    </row>
    <row r="82" spans="1:9" ht="15">
      <c r="A82" s="10">
        <v>44866</v>
      </c>
      <c r="B82" s="43">
        <v>118.221</v>
      </c>
      <c r="C82" s="9">
        <v>59</v>
      </c>
      <c r="D82" s="9">
        <f t="shared" si="0"/>
        <v>6.0182943233790684</v>
      </c>
      <c r="E82">
        <v>59</v>
      </c>
      <c r="F82">
        <v>59</v>
      </c>
      <c r="G82">
        <v>6.0182943230000001</v>
      </c>
      <c r="H82">
        <v>5.9760806627000003</v>
      </c>
      <c r="I82" t="s">
        <v>257</v>
      </c>
    </row>
    <row r="83" spans="1:9" ht="15">
      <c r="A83" s="10">
        <v>44896</v>
      </c>
      <c r="B83" s="43">
        <v>118.40300000000001</v>
      </c>
      <c r="C83" s="9">
        <v>60</v>
      </c>
      <c r="D83" s="9">
        <f t="shared" si="0"/>
        <v>5.508772867823315</v>
      </c>
      <c r="E83">
        <v>60</v>
      </c>
      <c r="F83">
        <v>60</v>
      </c>
      <c r="G83">
        <v>5.5087728680000003</v>
      </c>
      <c r="H83">
        <v>5.7343183797000004</v>
      </c>
      <c r="I83" t="s">
        <v>258</v>
      </c>
    </row>
    <row r="84" spans="1:9" ht="15">
      <c r="A84" s="10">
        <v>44927</v>
      </c>
      <c r="B84" s="43">
        <v>119.00700000000001</v>
      </c>
      <c r="C84" s="9">
        <v>61</v>
      </c>
      <c r="D84" s="9">
        <f t="shared" si="0"/>
        <v>5.5251117258991354</v>
      </c>
      <c r="E84">
        <v>61</v>
      </c>
      <c r="F84">
        <v>61</v>
      </c>
      <c r="G84">
        <v>5.5251117259999996</v>
      </c>
      <c r="H84">
        <v>5.4925560966999996</v>
      </c>
      <c r="I84" t="s">
        <v>259</v>
      </c>
    </row>
    <row r="85" spans="1:9" ht="15">
      <c r="A85" s="10">
        <v>44958</v>
      </c>
      <c r="B85" s="43">
        <v>119.401</v>
      </c>
      <c r="C85" s="9">
        <v>62</v>
      </c>
      <c r="D85" s="9">
        <f t="shared" si="0"/>
        <v>5.2093154402629249</v>
      </c>
      <c r="E85">
        <v>62</v>
      </c>
      <c r="F85">
        <v>62</v>
      </c>
      <c r="G85">
        <v>5.2093154400000001</v>
      </c>
      <c r="H85">
        <v>5.2507938136999996</v>
      </c>
      <c r="I85" t="s">
        <v>260</v>
      </c>
    </row>
    <row r="86" spans="1:9" ht="15">
      <c r="A86" s="16">
        <v>44986</v>
      </c>
      <c r="B86" s="43">
        <v>119.553</v>
      </c>
      <c r="C86" s="14">
        <v>63</v>
      </c>
      <c r="D86" s="14">
        <f t="shared" si="0"/>
        <v>4.4231323533265146</v>
      </c>
      <c r="E86">
        <v>63</v>
      </c>
      <c r="F86">
        <v>63</v>
      </c>
      <c r="G86">
        <v>4.4231323529999997</v>
      </c>
      <c r="H86">
        <v>4.5600252061999997</v>
      </c>
      <c r="I86" t="s">
        <v>261</v>
      </c>
    </row>
    <row r="87" spans="1:9" ht="15">
      <c r="A87" s="10">
        <v>45017</v>
      </c>
      <c r="B87" s="43">
        <v>119.97</v>
      </c>
      <c r="C87" s="9">
        <v>64</v>
      </c>
      <c r="D87" s="9">
        <f t="shared" si="0"/>
        <v>4.4625364621881669</v>
      </c>
      <c r="E87">
        <v>64</v>
      </c>
      <c r="F87">
        <v>64</v>
      </c>
      <c r="G87">
        <v>4.4625364620000001</v>
      </c>
      <c r="H87">
        <v>4.2300717911000003</v>
      </c>
      <c r="I87" t="s">
        <v>262</v>
      </c>
    </row>
    <row r="88" spans="1:9" ht="15">
      <c r="A88" s="10">
        <v>45047</v>
      </c>
      <c r="B88" s="43">
        <v>120.14</v>
      </c>
      <c r="C88" s="9">
        <v>65</v>
      </c>
      <c r="D88" s="9">
        <f t="shared" si="0"/>
        <v>3.9795052881203361</v>
      </c>
      <c r="E88">
        <v>65</v>
      </c>
      <c r="F88">
        <v>65</v>
      </c>
      <c r="G88">
        <v>3.9795052879999999</v>
      </c>
      <c r="H88">
        <v>3.900118376</v>
      </c>
      <c r="I88" t="s">
        <v>263</v>
      </c>
    </row>
    <row r="89" spans="1:9" ht="15">
      <c r="A89" s="10">
        <v>45078</v>
      </c>
      <c r="B89" s="43">
        <v>120.435</v>
      </c>
      <c r="C89" s="9">
        <v>66</v>
      </c>
      <c r="D89" s="9">
        <f t="shared" si="0"/>
        <v>3.2615685366669256</v>
      </c>
      <c r="E89">
        <v>66</v>
      </c>
      <c r="F89">
        <v>66</v>
      </c>
      <c r="G89">
        <v>3.261568537</v>
      </c>
      <c r="H89">
        <v>3.5701649609000001</v>
      </c>
      <c r="I89" t="s">
        <v>264</v>
      </c>
    </row>
    <row r="90" spans="1:9" ht="15">
      <c r="A90" s="10">
        <v>45108</v>
      </c>
      <c r="B90" s="43">
        <v>120.598</v>
      </c>
      <c r="C90" s="9">
        <v>67</v>
      </c>
      <c r="D90" s="9">
        <f t="shared" ref="D90:D100" si="1">100*(B90-B78)/B78</f>
        <v>3.3738492396838669</v>
      </c>
      <c r="E90">
        <v>67</v>
      </c>
      <c r="F90">
        <v>67</v>
      </c>
      <c r="G90">
        <v>3.3738492400000002</v>
      </c>
      <c r="H90">
        <v>3.2402115457999998</v>
      </c>
      <c r="I90" t="s">
        <v>265</v>
      </c>
    </row>
    <row r="91" spans="1:9" ht="15">
      <c r="A91" s="16">
        <v>45139</v>
      </c>
      <c r="B91" s="43">
        <v>120.965</v>
      </c>
      <c r="C91" s="14">
        <v>68</v>
      </c>
      <c r="D91" s="14">
        <f t="shared" si="1"/>
        <v>3.3871215876651752</v>
      </c>
      <c r="E91">
        <v>68</v>
      </c>
      <c r="F91">
        <v>68</v>
      </c>
      <c r="G91">
        <v>3.3871215879999998</v>
      </c>
      <c r="H91">
        <v>3.4573101756</v>
      </c>
      <c r="I91" t="s">
        <v>266</v>
      </c>
    </row>
    <row r="92" spans="1:9" ht="15">
      <c r="A92" s="10">
        <v>45170</v>
      </c>
      <c r="B92" s="43">
        <v>121.387</v>
      </c>
      <c r="C92" s="9">
        <v>69</v>
      </c>
      <c r="D92" s="9">
        <f t="shared" si="1"/>
        <v>3.4163422135512111</v>
      </c>
      <c r="E92">
        <v>69</v>
      </c>
      <c r="F92">
        <v>69</v>
      </c>
      <c r="G92">
        <v>3.4163422140000002</v>
      </c>
      <c r="H92">
        <v>3.2487815328999998</v>
      </c>
      <c r="I92" t="s">
        <v>322</v>
      </c>
    </row>
    <row r="93" spans="1:9" ht="15">
      <c r="A93" s="10">
        <v>45200</v>
      </c>
      <c r="B93" s="43">
        <v>121.42100000000001</v>
      </c>
      <c r="C93" s="9">
        <v>70</v>
      </c>
      <c r="D93" s="9">
        <f t="shared" si="1"/>
        <v>2.9942913369129118</v>
      </c>
      <c r="E93">
        <v>70</v>
      </c>
      <c r="F93">
        <v>70</v>
      </c>
      <c r="G93">
        <v>2.9942913369999999</v>
      </c>
      <c r="H93">
        <v>3.0402528902000001</v>
      </c>
      <c r="I93" t="s">
        <v>323</v>
      </c>
    </row>
    <row r="94" spans="1:9" ht="15">
      <c r="A94" s="10">
        <v>45231</v>
      </c>
      <c r="B94" s="43">
        <v>121.41500000000001</v>
      </c>
      <c r="C94" s="9">
        <v>71</v>
      </c>
      <c r="D94" s="9">
        <f t="shared" si="1"/>
        <v>2.7017196606355913</v>
      </c>
      <c r="E94">
        <v>71</v>
      </c>
      <c r="F94">
        <v>71</v>
      </c>
      <c r="G94">
        <v>2.7017196609999998</v>
      </c>
      <c r="H94">
        <v>2.8317242475</v>
      </c>
      <c r="I94" t="s">
        <v>324</v>
      </c>
    </row>
    <row r="95" spans="1:9" ht="15">
      <c r="A95" s="10">
        <v>45261</v>
      </c>
      <c r="B95" s="43">
        <v>121.602</v>
      </c>
      <c r="C95" s="9">
        <v>72</v>
      </c>
      <c r="D95" s="9">
        <f t="shared" si="1"/>
        <v>2.7017896506000674</v>
      </c>
      <c r="E95">
        <v>72</v>
      </c>
      <c r="F95">
        <v>72</v>
      </c>
      <c r="G95">
        <v>2.7017896509999999</v>
      </c>
      <c r="H95">
        <v>2.6231956047999998</v>
      </c>
      <c r="I95" t="s">
        <v>325</v>
      </c>
    </row>
    <row r="96" spans="1:9" ht="15">
      <c r="A96" s="16">
        <v>45292</v>
      </c>
      <c r="B96" s="43">
        <v>122.11499999999999</v>
      </c>
      <c r="C96" s="14">
        <v>73</v>
      </c>
      <c r="D96" s="14">
        <f t="shared" si="1"/>
        <v>2.6116110817010676</v>
      </c>
      <c r="E96">
        <v>73</v>
      </c>
      <c r="F96">
        <v>73</v>
      </c>
      <c r="G96">
        <v>2.611611082</v>
      </c>
      <c r="H96">
        <v>2.6376998044</v>
      </c>
      <c r="I96" t="s">
        <v>326</v>
      </c>
    </row>
    <row r="97" spans="1:9" ht="15">
      <c r="A97" s="10">
        <v>45323</v>
      </c>
      <c r="B97" s="43">
        <v>122.494</v>
      </c>
      <c r="C97" s="9">
        <v>74</v>
      </c>
      <c r="D97" s="9">
        <f t="shared" si="1"/>
        <v>2.5904305659081612</v>
      </c>
      <c r="E97">
        <v>74</v>
      </c>
      <c r="F97">
        <v>74</v>
      </c>
      <c r="G97">
        <v>2.5904305660000002</v>
      </c>
      <c r="H97">
        <v>2.6148860129</v>
      </c>
    </row>
    <row r="98" spans="1:9" ht="15">
      <c r="A98" s="10">
        <v>45352</v>
      </c>
      <c r="B98" s="43">
        <v>122.91200000000001</v>
      </c>
      <c r="C98" s="9">
        <v>75</v>
      </c>
      <c r="D98" s="9">
        <f t="shared" si="1"/>
        <v>2.8096325479076301</v>
      </c>
      <c r="E98">
        <v>75</v>
      </c>
      <c r="F98">
        <v>75</v>
      </c>
      <c r="G98">
        <v>2.8096325480000002</v>
      </c>
      <c r="H98">
        <v>2.5920722215000001</v>
      </c>
    </row>
    <row r="99" spans="1:9" ht="15">
      <c r="A99" s="10">
        <v>45383</v>
      </c>
      <c r="B99" s="43">
        <v>123.23399999999999</v>
      </c>
      <c r="C99" s="9">
        <v>76</v>
      </c>
      <c r="D99" s="9">
        <f t="shared" si="1"/>
        <v>2.720680170042507</v>
      </c>
      <c r="E99">
        <v>76</v>
      </c>
      <c r="F99">
        <v>76</v>
      </c>
      <c r="G99">
        <v>2.7206801700000001</v>
      </c>
      <c r="H99">
        <v>2.5692584300000001</v>
      </c>
    </row>
    <row r="100" spans="1:9" ht="15">
      <c r="A100" s="10">
        <v>45413</v>
      </c>
      <c r="B100" s="43">
        <v>123.224</v>
      </c>
      <c r="C100" s="9">
        <v>77</v>
      </c>
      <c r="D100" s="9">
        <f t="shared" si="1"/>
        <v>2.5670051606459157</v>
      </c>
      <c r="E100">
        <v>77</v>
      </c>
      <c r="F100">
        <v>77</v>
      </c>
      <c r="G100">
        <v>2.567005161</v>
      </c>
      <c r="H100">
        <v>2.5464446386000001</v>
      </c>
      <c r="I100" s="31"/>
    </row>
    <row r="101" spans="1:9" ht="15">
      <c r="A101" s="10">
        <v>45444</v>
      </c>
      <c r="B101" s="43">
        <v>123.369</v>
      </c>
      <c r="C101" s="9">
        <v>78</v>
      </c>
      <c r="D101" s="9">
        <f>100*(B101-B89)/B89</f>
        <v>2.4361688877817889</v>
      </c>
      <c r="E101">
        <v>78</v>
      </c>
      <c r="F101">
        <v>78</v>
      </c>
      <c r="G101">
        <v>2.4361688880000001</v>
      </c>
      <c r="H101">
        <v>2.5236308471000002</v>
      </c>
      <c r="I101" s="31"/>
    </row>
    <row r="102" spans="1:9" ht="15">
      <c r="A102" s="10">
        <v>45474</v>
      </c>
      <c r="B102" s="43">
        <v>123.575</v>
      </c>
      <c r="C102" s="9">
        <v>79</v>
      </c>
      <c r="D102" s="9">
        <f t="shared" ref="D102" si="2">100*(B102-B90)/B90</f>
        <v>2.4685318164480372</v>
      </c>
      <c r="E102">
        <v>79</v>
      </c>
      <c r="F102">
        <v>79</v>
      </c>
      <c r="G102">
        <v>2.468531816</v>
      </c>
      <c r="H102">
        <v>2.5008170556999998</v>
      </c>
      <c r="I102" s="31"/>
    </row>
    <row r="103" spans="1:9" ht="15">
      <c r="A103" s="10">
        <v>45505</v>
      </c>
      <c r="B103" s="43">
        <v>123.727</v>
      </c>
      <c r="C103" s="9">
        <v>80</v>
      </c>
      <c r="D103" s="9">
        <f>100*(B103-B91)/B91</f>
        <v>2.2833050882486674</v>
      </c>
      <c r="E103">
        <v>80</v>
      </c>
      <c r="F103">
        <v>80</v>
      </c>
      <c r="G103">
        <v>2.2833050880000001</v>
      </c>
      <c r="H103">
        <v>2.4780032641999998</v>
      </c>
      <c r="I103" s="31"/>
    </row>
    <row r="104" spans="1:9" ht="15">
      <c r="A104" s="10">
        <v>45536</v>
      </c>
      <c r="B104" s="43">
        <v>123.93899999999999</v>
      </c>
      <c r="C104" s="9">
        <v>81</v>
      </c>
      <c r="D104" s="9">
        <f t="shared" ref="D104" si="3">100*(B104-B92)/B92</f>
        <v>2.1023668102844559</v>
      </c>
      <c r="E104">
        <v>81</v>
      </c>
      <c r="F104">
        <v>81</v>
      </c>
      <c r="G104">
        <v>2.1023668099999999</v>
      </c>
      <c r="H104">
        <v>2.4551894727999999</v>
      </c>
      <c r="I104" s="31"/>
    </row>
    <row r="105" spans="1:9" ht="15">
      <c r="A105" s="16">
        <v>45566</v>
      </c>
      <c r="B105" s="43">
        <v>124.271</v>
      </c>
      <c r="C105" s="14">
        <v>82</v>
      </c>
      <c r="D105" s="14">
        <f>100*(B105-B93)/B93</f>
        <v>2.3472051786758419</v>
      </c>
      <c r="E105">
        <v>82</v>
      </c>
      <c r="F105">
        <v>82</v>
      </c>
      <c r="G105">
        <v>2.3472051789999999</v>
      </c>
      <c r="H105">
        <v>2.4323756813999999</v>
      </c>
      <c r="I105" s="14"/>
    </row>
    <row r="106" spans="1:9" ht="15">
      <c r="A106" s="10">
        <v>45597</v>
      </c>
      <c r="B106" s="43">
        <v>124.40600000000001</v>
      </c>
      <c r="C106" s="9">
        <v>83</v>
      </c>
      <c r="D106" s="9">
        <f>100*(B106-B94)/B94</f>
        <v>2.4634517975538439</v>
      </c>
      <c r="E106">
        <v>83</v>
      </c>
      <c r="F106">
        <v>83</v>
      </c>
      <c r="G106">
        <v>2.4634517979999999</v>
      </c>
      <c r="H106">
        <v>2.4095618899</v>
      </c>
      <c r="I106" s="31"/>
    </row>
    <row r="107" spans="1:9" ht="15">
      <c r="A107" s="10">
        <v>45627</v>
      </c>
      <c r="B107" s="43">
        <v>124.76900000000001</v>
      </c>
      <c r="C107" s="9">
        <v>84</v>
      </c>
      <c r="D107" s="9">
        <f>100*(B107-B95)/B95</f>
        <v>2.6043979539810214</v>
      </c>
      <c r="E107">
        <v>84</v>
      </c>
      <c r="F107">
        <v>84</v>
      </c>
      <c r="G107">
        <v>2.604397954</v>
      </c>
      <c r="H107">
        <v>2.3867480985</v>
      </c>
      <c r="I107" s="31"/>
    </row>
    <row r="108" spans="1:9" ht="15">
      <c r="A108" s="10">
        <v>45658</v>
      </c>
      <c r="B108" s="43">
        <v>125.175</v>
      </c>
      <c r="C108" s="9">
        <v>85</v>
      </c>
      <c r="D108" s="9">
        <f>100*(B108-B96)/B96</f>
        <v>2.5058346640461879</v>
      </c>
      <c r="E108">
        <v>85</v>
      </c>
      <c r="F108">
        <v>85</v>
      </c>
      <c r="G108">
        <v>2.505834664</v>
      </c>
      <c r="H108">
        <v>2.3639343070000001</v>
      </c>
      <c r="I108" s="31"/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6004-2376-41CD-8D40-11781FAFB434}">
  <dimension ref="A1:I107"/>
  <sheetViews>
    <sheetView topLeftCell="A86" workbookViewId="0">
      <selection activeCell="I100" sqref="I100:I107"/>
    </sheetView>
  </sheetViews>
  <sheetFormatPr defaultRowHeight="13.2"/>
  <cols>
    <col min="1" max="1" width="10.21875" customWidth="1"/>
    <col min="5" max="6" width="3.5546875" bestFit="1" customWidth="1"/>
  </cols>
  <sheetData>
    <row r="1" spans="1:2" ht="15">
      <c r="A1" s="37" t="s">
        <v>0</v>
      </c>
      <c r="B1" s="37"/>
    </row>
    <row r="2" spans="1:2" ht="15">
      <c r="A2" s="37" t="s">
        <v>302</v>
      </c>
      <c r="B2" s="37"/>
    </row>
    <row r="3" spans="1:2" ht="15">
      <c r="A3" s="37" t="s">
        <v>2</v>
      </c>
      <c r="B3" s="37"/>
    </row>
    <row r="4" spans="1:2" ht="15">
      <c r="A4" s="37" t="s">
        <v>3</v>
      </c>
      <c r="B4" s="37"/>
    </row>
    <row r="5" spans="1:2" ht="15">
      <c r="A5" s="37" t="s">
        <v>303</v>
      </c>
      <c r="B5" s="37"/>
    </row>
    <row r="6" spans="1:2" ht="15">
      <c r="A6" s="37" t="s">
        <v>312</v>
      </c>
      <c r="B6" s="37"/>
    </row>
    <row r="7" spans="1:2">
      <c r="A7" s="38"/>
      <c r="B7" s="38"/>
    </row>
    <row r="8" spans="1:2" ht="15">
      <c r="A8" s="37" t="s">
        <v>6</v>
      </c>
      <c r="B8" s="37" t="s">
        <v>7</v>
      </c>
    </row>
    <row r="11" spans="1:2" ht="15">
      <c r="A11" s="41" t="s">
        <v>9</v>
      </c>
      <c r="B11" s="41" t="s">
        <v>6</v>
      </c>
    </row>
    <row r="12" spans="1:2" ht="15">
      <c r="A12" s="42">
        <v>42736</v>
      </c>
      <c r="B12" s="40">
        <v>99.450999999999993</v>
      </c>
    </row>
    <row r="13" spans="1:2" ht="15">
      <c r="A13" s="42">
        <v>42767</v>
      </c>
      <c r="B13" s="40">
        <v>99.585999999999999</v>
      </c>
    </row>
    <row r="14" spans="1:2" ht="15">
      <c r="A14" s="42">
        <v>42795</v>
      </c>
      <c r="B14" s="40">
        <v>99.534999999999997</v>
      </c>
    </row>
    <row r="15" spans="1:2" ht="15">
      <c r="A15" s="42">
        <v>42826</v>
      </c>
      <c r="B15" s="40">
        <v>99.724999999999994</v>
      </c>
    </row>
    <row r="16" spans="1:2" ht="15">
      <c r="A16" s="42">
        <v>42856</v>
      </c>
      <c r="B16" s="40">
        <v>99.682000000000002</v>
      </c>
    </row>
    <row r="17" spans="1:9" ht="15">
      <c r="A17" s="42">
        <v>42887</v>
      </c>
      <c r="B17" s="40">
        <v>99.766000000000005</v>
      </c>
    </row>
    <row r="18" spans="1:9" ht="15">
      <c r="A18" s="42">
        <v>42917</v>
      </c>
      <c r="B18" s="40">
        <v>99.802999999999997</v>
      </c>
    </row>
    <row r="19" spans="1:9" ht="15">
      <c r="A19" s="42">
        <v>42948</v>
      </c>
      <c r="B19" s="40">
        <v>100.027</v>
      </c>
    </row>
    <row r="20" spans="1:9" ht="15">
      <c r="A20" s="42">
        <v>42979</v>
      </c>
      <c r="B20" s="40">
        <v>100.4</v>
      </c>
    </row>
    <row r="21" spans="1:9" ht="15">
      <c r="A21" s="42">
        <v>43009</v>
      </c>
      <c r="B21" s="40">
        <v>100.53100000000001</v>
      </c>
    </row>
    <row r="22" spans="1:9" ht="15">
      <c r="A22" s="42">
        <v>43040</v>
      </c>
      <c r="B22" s="40">
        <v>100.675</v>
      </c>
    </row>
    <row r="23" spans="1:9" ht="15">
      <c r="A23" s="42">
        <v>43070</v>
      </c>
      <c r="B23" s="40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5">
      <c r="A24" s="10">
        <v>43101</v>
      </c>
      <c r="B24" s="40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 ht="15">
      <c r="A25" s="10">
        <v>43132</v>
      </c>
      <c r="B25" s="40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313</v>
      </c>
    </row>
    <row r="26" spans="1:9" ht="15">
      <c r="A26" s="10">
        <v>43160</v>
      </c>
      <c r="B26" s="40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 ht="15">
      <c r="A27" s="10">
        <v>43191</v>
      </c>
      <c r="B27" s="40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 ht="15">
      <c r="A28" s="10">
        <v>43221</v>
      </c>
      <c r="B28" s="40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 ht="15">
      <c r="A29" s="16">
        <v>43252</v>
      </c>
      <c r="B29" s="40">
        <v>102.029</v>
      </c>
      <c r="C29" s="14">
        <v>6</v>
      </c>
      <c r="D29" s="14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 ht="15">
      <c r="A30" s="10">
        <v>43282</v>
      </c>
      <c r="B30" s="40">
        <v>102.137</v>
      </c>
      <c r="C30" s="9">
        <v>7</v>
      </c>
      <c r="D30" s="9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 ht="15">
      <c r="A31" s="10">
        <v>43313</v>
      </c>
      <c r="B31" s="40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 ht="15">
      <c r="A32" s="10">
        <v>43344</v>
      </c>
      <c r="B32" s="40">
        <v>102.41800000000001</v>
      </c>
      <c r="C32" s="9">
        <v>9</v>
      </c>
      <c r="D32" s="9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 ht="15">
      <c r="A33" s="10">
        <v>43374</v>
      </c>
      <c r="B33" s="40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 ht="15">
      <c r="A34" s="10">
        <v>43405</v>
      </c>
      <c r="B34" s="40">
        <v>102.63</v>
      </c>
      <c r="C34" s="9">
        <v>11</v>
      </c>
      <c r="D34" s="9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 ht="15">
      <c r="A35" s="10">
        <v>43435</v>
      </c>
      <c r="B35" s="40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 ht="15">
      <c r="A36" s="16">
        <v>43466</v>
      </c>
      <c r="B36" s="40">
        <v>102.648</v>
      </c>
      <c r="C36" s="14">
        <v>13</v>
      </c>
      <c r="D36" s="14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 ht="15">
      <c r="A37" s="10">
        <v>43497</v>
      </c>
      <c r="B37" s="40">
        <v>102.836</v>
      </c>
      <c r="C37" s="9">
        <v>14</v>
      </c>
      <c r="D37" s="9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 ht="15">
      <c r="A38" s="10">
        <v>43525</v>
      </c>
      <c r="B38" s="40">
        <v>103.069</v>
      </c>
      <c r="C38" s="9">
        <v>15</v>
      </c>
      <c r="D38" s="9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 ht="15">
      <c r="A39" s="10">
        <v>43556</v>
      </c>
      <c r="B39" s="40">
        <v>103.36</v>
      </c>
      <c r="C39" s="9">
        <v>16</v>
      </c>
      <c r="D39" s="9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 ht="15">
      <c r="A40" s="10">
        <v>43586</v>
      </c>
      <c r="B40" s="40">
        <v>103.435</v>
      </c>
      <c r="C40" s="9">
        <v>17</v>
      </c>
      <c r="D40" s="9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 ht="15">
      <c r="A41" s="16">
        <v>43617</v>
      </c>
      <c r="B41" s="40">
        <v>103.48399999999999</v>
      </c>
      <c r="C41" s="14">
        <v>18</v>
      </c>
      <c r="D41" s="14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 ht="15">
      <c r="A42" s="10">
        <v>43647</v>
      </c>
      <c r="B42" s="40">
        <v>103.622</v>
      </c>
      <c r="C42" s="9">
        <v>19</v>
      </c>
      <c r="D42" s="9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 ht="15">
      <c r="A43" s="10">
        <v>43678</v>
      </c>
      <c r="B43" s="40">
        <v>103.67</v>
      </c>
      <c r="C43" s="9">
        <v>20</v>
      </c>
      <c r="D43" s="9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 ht="15">
      <c r="A44" s="10">
        <v>43709</v>
      </c>
      <c r="B44" s="40">
        <v>103.733</v>
      </c>
      <c r="C44" s="9">
        <v>21</v>
      </c>
      <c r="D44" s="9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 ht="15">
      <c r="A45" s="10">
        <v>43739</v>
      </c>
      <c r="B45" s="40">
        <v>103.917</v>
      </c>
      <c r="C45" s="9">
        <v>22</v>
      </c>
      <c r="D45" s="9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 ht="15">
      <c r="A46" s="16">
        <v>43770</v>
      </c>
      <c r="B46" s="40">
        <v>104.024</v>
      </c>
      <c r="C46" s="14">
        <v>23</v>
      </c>
      <c r="D46" s="14">
        <f t="shared" si="0"/>
        <v>1.3582773068303668</v>
      </c>
      <c r="E46">
        <v>23</v>
      </c>
      <c r="F46">
        <v>23</v>
      </c>
      <c r="G46">
        <v>1.358277307</v>
      </c>
      <c r="H46">
        <v>1.7312877777</v>
      </c>
      <c r="I46" t="s">
        <v>223</v>
      </c>
    </row>
    <row r="47" spans="1:9" ht="15">
      <c r="A47" s="10">
        <v>43800</v>
      </c>
      <c r="B47" s="40">
        <v>104.307</v>
      </c>
      <c r="C47" s="9">
        <v>24</v>
      </c>
      <c r="D47" s="9">
        <f t="shared" si="0"/>
        <v>1.5637627676458932</v>
      </c>
      <c r="E47">
        <v>24</v>
      </c>
      <c r="F47">
        <v>24</v>
      </c>
      <c r="G47">
        <v>1.5637627679999999</v>
      </c>
      <c r="H47">
        <v>1.5609958544</v>
      </c>
      <c r="I47" t="s">
        <v>224</v>
      </c>
    </row>
    <row r="48" spans="1:9" ht="15">
      <c r="A48" s="10">
        <v>43831</v>
      </c>
      <c r="B48" s="40">
        <v>104.419</v>
      </c>
      <c r="C48" s="9">
        <v>25</v>
      </c>
      <c r="D48" s="9">
        <f t="shared" si="0"/>
        <v>1.7253136933988007</v>
      </c>
      <c r="E48">
        <v>25</v>
      </c>
      <c r="F48">
        <v>25</v>
      </c>
      <c r="G48">
        <v>1.7253136929999999</v>
      </c>
      <c r="H48">
        <v>1.3907039311</v>
      </c>
      <c r="I48" t="s">
        <v>225</v>
      </c>
    </row>
    <row r="49" spans="1:9" ht="15">
      <c r="A49" s="10">
        <v>43862</v>
      </c>
      <c r="B49" s="40">
        <v>104.541</v>
      </c>
      <c r="C49" s="9">
        <v>26</v>
      </c>
      <c r="D49" s="9">
        <f t="shared" si="0"/>
        <v>1.6579796958263626</v>
      </c>
      <c r="E49">
        <v>26</v>
      </c>
      <c r="F49">
        <v>26</v>
      </c>
      <c r="G49">
        <v>1.6579796959999999</v>
      </c>
      <c r="H49">
        <v>1.2204120079</v>
      </c>
      <c r="I49" t="s">
        <v>226</v>
      </c>
    </row>
    <row r="50" spans="1:9" ht="15">
      <c r="A50" s="10">
        <v>43891</v>
      </c>
      <c r="B50" s="40">
        <v>104.252</v>
      </c>
      <c r="C50" s="9">
        <v>27</v>
      </c>
      <c r="D50" s="9">
        <f t="shared" si="0"/>
        <v>1.1477747916444252</v>
      </c>
      <c r="E50">
        <v>27</v>
      </c>
      <c r="F50">
        <v>27</v>
      </c>
      <c r="G50">
        <v>1.1477747920000001</v>
      </c>
      <c r="H50">
        <v>1.0501200846000001</v>
      </c>
      <c r="I50" t="s">
        <v>227</v>
      </c>
    </row>
    <row r="51" spans="1:9" ht="15">
      <c r="A51" s="10">
        <v>43922</v>
      </c>
      <c r="B51" s="40">
        <v>103.81699999999999</v>
      </c>
      <c r="C51" s="9">
        <v>28</v>
      </c>
      <c r="D51" s="9">
        <f t="shared" si="0"/>
        <v>0.44214396284829105</v>
      </c>
      <c r="E51">
        <v>28</v>
      </c>
      <c r="F51">
        <v>28</v>
      </c>
      <c r="G51">
        <v>0.44214396299999997</v>
      </c>
      <c r="H51">
        <v>0.87982816139999998</v>
      </c>
      <c r="I51" t="s">
        <v>228</v>
      </c>
    </row>
    <row r="52" spans="1:9" ht="15">
      <c r="A52" s="10">
        <v>43952</v>
      </c>
      <c r="B52" s="40">
        <v>103.914</v>
      </c>
      <c r="C52" s="9">
        <v>29</v>
      </c>
      <c r="D52" s="9">
        <f t="shared" si="0"/>
        <v>0.46309276357132423</v>
      </c>
      <c r="E52">
        <v>29</v>
      </c>
      <c r="F52">
        <v>29</v>
      </c>
      <c r="G52">
        <v>0.46309276399999999</v>
      </c>
      <c r="H52">
        <v>0.70953623809999999</v>
      </c>
      <c r="I52" t="s">
        <v>229</v>
      </c>
    </row>
    <row r="53" spans="1:9" ht="15">
      <c r="A53" s="10">
        <v>43983</v>
      </c>
      <c r="B53" s="40">
        <v>104.233</v>
      </c>
      <c r="C53" s="9">
        <v>30</v>
      </c>
      <c r="D53" s="9">
        <f t="shared" si="0"/>
        <v>0.7237833868037663</v>
      </c>
      <c r="E53">
        <v>30</v>
      </c>
      <c r="F53">
        <v>30</v>
      </c>
      <c r="G53">
        <v>0.723783387</v>
      </c>
      <c r="H53">
        <v>0.53924431480000001</v>
      </c>
      <c r="I53" t="s">
        <v>230</v>
      </c>
    </row>
    <row r="54" spans="1:9" ht="15">
      <c r="A54" s="16">
        <v>44013</v>
      </c>
      <c r="B54" s="40">
        <v>104.56399999999999</v>
      </c>
      <c r="C54" s="14">
        <v>31</v>
      </c>
      <c r="D54" s="14">
        <f t="shared" si="0"/>
        <v>0.90907336279939888</v>
      </c>
      <c r="E54">
        <v>31</v>
      </c>
      <c r="F54">
        <v>31</v>
      </c>
      <c r="G54">
        <v>0.90907336299999997</v>
      </c>
      <c r="H54">
        <v>0.93293996089999998</v>
      </c>
      <c r="I54" t="s">
        <v>231</v>
      </c>
    </row>
    <row r="55" spans="1:9" ht="15">
      <c r="A55" s="10">
        <v>44044</v>
      </c>
      <c r="B55" s="40">
        <v>104.887</v>
      </c>
      <c r="C55" s="9">
        <v>32</v>
      </c>
      <c r="D55" s="9">
        <f t="shared" si="0"/>
        <v>1.1739172373878641</v>
      </c>
      <c r="E55">
        <v>32</v>
      </c>
      <c r="F55">
        <v>32</v>
      </c>
      <c r="G55">
        <v>1.1739172369999999</v>
      </c>
      <c r="H55">
        <v>1.0382822183</v>
      </c>
      <c r="I55" t="s">
        <v>232</v>
      </c>
    </row>
    <row r="56" spans="1:9" ht="15">
      <c r="A56" s="10">
        <v>44075</v>
      </c>
      <c r="B56" s="40">
        <v>105.04600000000001</v>
      </c>
      <c r="C56" s="9">
        <v>33</v>
      </c>
      <c r="D56" s="9">
        <f t="shared" si="0"/>
        <v>1.2657495686040146</v>
      </c>
      <c r="E56">
        <v>33</v>
      </c>
      <c r="F56">
        <v>33</v>
      </c>
      <c r="G56">
        <v>1.265749569</v>
      </c>
      <c r="H56">
        <v>1.1436244756</v>
      </c>
      <c r="I56" t="s">
        <v>233</v>
      </c>
    </row>
    <row r="57" spans="1:9" ht="15">
      <c r="A57" s="10">
        <v>44105</v>
      </c>
      <c r="B57" s="40">
        <v>105.10599999999999</v>
      </c>
      <c r="C57" s="9">
        <v>34</v>
      </c>
      <c r="D57" s="9">
        <f t="shared" si="0"/>
        <v>1.144182376319556</v>
      </c>
      <c r="E57">
        <v>34</v>
      </c>
      <c r="F57">
        <v>34</v>
      </c>
      <c r="G57">
        <v>1.1441823760000001</v>
      </c>
      <c r="H57">
        <v>1.2489667330000001</v>
      </c>
      <c r="I57" t="s">
        <v>234</v>
      </c>
    </row>
    <row r="58" spans="1:9" ht="15">
      <c r="A58" s="10">
        <v>44136</v>
      </c>
      <c r="B58" s="40">
        <v>105.22499999999999</v>
      </c>
      <c r="C58" s="9">
        <v>35</v>
      </c>
      <c r="D58" s="9">
        <f t="shared" si="0"/>
        <v>1.1545412597092914</v>
      </c>
      <c r="E58">
        <v>35</v>
      </c>
      <c r="F58">
        <v>35</v>
      </c>
      <c r="G58">
        <v>1.15454126</v>
      </c>
      <c r="H58">
        <v>1.3543089903000001</v>
      </c>
      <c r="I58" t="s">
        <v>109</v>
      </c>
    </row>
    <row r="59" spans="1:9" ht="15">
      <c r="A59" s="10">
        <v>44166</v>
      </c>
      <c r="B59" s="40">
        <v>105.69</v>
      </c>
      <c r="C59" s="9">
        <v>36</v>
      </c>
      <c r="D59" s="9">
        <f t="shared" si="0"/>
        <v>1.3258937559320041</v>
      </c>
      <c r="E59">
        <v>36</v>
      </c>
      <c r="F59">
        <v>36</v>
      </c>
      <c r="G59">
        <v>1.3258937559999999</v>
      </c>
      <c r="H59">
        <v>1.4596512476000001</v>
      </c>
      <c r="I59" t="s">
        <v>235</v>
      </c>
    </row>
    <row r="60" spans="1:9" ht="15">
      <c r="A60" s="10">
        <v>44197</v>
      </c>
      <c r="B60" s="40">
        <v>106.083</v>
      </c>
      <c r="C60" s="9">
        <v>37</v>
      </c>
      <c r="D60" s="9">
        <f t="shared" si="0"/>
        <v>1.5935797125044306</v>
      </c>
      <c r="E60">
        <v>37</v>
      </c>
      <c r="F60">
        <v>37</v>
      </c>
      <c r="G60">
        <v>1.593579713</v>
      </c>
      <c r="H60">
        <v>1.5649935049999999</v>
      </c>
      <c r="I60" t="s">
        <v>236</v>
      </c>
    </row>
    <row r="61" spans="1:9" ht="15">
      <c r="A61" s="10">
        <v>44228</v>
      </c>
      <c r="B61" s="40">
        <v>106.471</v>
      </c>
      <c r="C61" s="9">
        <v>38</v>
      </c>
      <c r="D61" s="9">
        <f t="shared" si="0"/>
        <v>1.846165619230739</v>
      </c>
      <c r="E61">
        <v>38</v>
      </c>
      <c r="F61">
        <v>38</v>
      </c>
      <c r="G61">
        <v>1.846165619</v>
      </c>
      <c r="H61">
        <v>1.6703357622999999</v>
      </c>
      <c r="I61" t="s">
        <v>237</v>
      </c>
    </row>
    <row r="62" spans="1:9" ht="15">
      <c r="A62" s="16">
        <v>44256</v>
      </c>
      <c r="B62" s="40">
        <v>107.032</v>
      </c>
      <c r="C62" s="14">
        <v>39</v>
      </c>
      <c r="D62" s="14">
        <f t="shared" si="0"/>
        <v>2.6666155085753762</v>
      </c>
      <c r="E62">
        <v>39</v>
      </c>
      <c r="F62">
        <v>39</v>
      </c>
      <c r="G62">
        <v>2.6666155090000001</v>
      </c>
      <c r="H62">
        <v>2.9906219456000001</v>
      </c>
      <c r="I62" t="s">
        <v>238</v>
      </c>
    </row>
    <row r="63" spans="1:9" ht="15">
      <c r="A63" s="10">
        <v>44287</v>
      </c>
      <c r="B63" s="40">
        <v>107.63200000000001</v>
      </c>
      <c r="C63" s="9">
        <v>40</v>
      </c>
      <c r="D63" s="9">
        <f t="shared" si="0"/>
        <v>3.6747353516283576</v>
      </c>
      <c r="E63">
        <v>40</v>
      </c>
      <c r="F63">
        <v>40</v>
      </c>
      <c r="G63">
        <v>3.6747353519999999</v>
      </c>
      <c r="H63">
        <v>3.4240644095000001</v>
      </c>
      <c r="I63" t="s">
        <v>110</v>
      </c>
    </row>
    <row r="64" spans="1:9" ht="15">
      <c r="A64" s="10">
        <v>44317</v>
      </c>
      <c r="B64" s="40">
        <v>108.184</v>
      </c>
      <c r="C64" s="9">
        <v>41</v>
      </c>
      <c r="D64" s="9">
        <f t="shared" si="0"/>
        <v>4.1091671959504934</v>
      </c>
      <c r="E64">
        <v>41</v>
      </c>
      <c r="F64">
        <v>41</v>
      </c>
      <c r="G64">
        <v>4.1091671959999996</v>
      </c>
      <c r="H64">
        <v>3.8575068734000002</v>
      </c>
      <c r="I64" t="s">
        <v>239</v>
      </c>
    </row>
    <row r="65" spans="1:9" ht="15">
      <c r="A65" s="10">
        <v>44348</v>
      </c>
      <c r="B65" s="40">
        <v>108.748</v>
      </c>
      <c r="C65" s="9">
        <v>42</v>
      </c>
      <c r="D65" s="9">
        <f t="shared" si="0"/>
        <v>4.3316416106223556</v>
      </c>
      <c r="E65">
        <v>42</v>
      </c>
      <c r="F65">
        <v>42</v>
      </c>
      <c r="G65">
        <v>4.3316416110000002</v>
      </c>
      <c r="H65">
        <v>4.2909493372999998</v>
      </c>
      <c r="I65" t="s">
        <v>240</v>
      </c>
    </row>
    <row r="66" spans="1:9" ht="15">
      <c r="A66" s="10">
        <v>44378</v>
      </c>
      <c r="B66" s="40">
        <v>109.27500000000001</v>
      </c>
      <c r="C66" s="9">
        <v>43</v>
      </c>
      <c r="D66" s="9">
        <f t="shared" si="0"/>
        <v>4.5053746987491037</v>
      </c>
      <c r="E66">
        <v>43</v>
      </c>
      <c r="F66">
        <v>43</v>
      </c>
      <c r="G66">
        <v>4.5053746989999999</v>
      </c>
      <c r="H66">
        <v>4.7243918012000004</v>
      </c>
      <c r="I66" t="s">
        <v>241</v>
      </c>
    </row>
    <row r="67" spans="1:9" ht="15">
      <c r="A67" s="16">
        <v>44409</v>
      </c>
      <c r="B67" s="40">
        <v>109.72</v>
      </c>
      <c r="C67" s="14">
        <v>44</v>
      </c>
      <c r="D67" s="14">
        <f t="shared" si="0"/>
        <v>4.6078160305852949</v>
      </c>
      <c r="E67">
        <v>44</v>
      </c>
      <c r="F67">
        <v>44</v>
      </c>
      <c r="G67">
        <v>4.6078160309999996</v>
      </c>
      <c r="H67">
        <v>4.5053705653999998</v>
      </c>
      <c r="I67" t="s">
        <v>242</v>
      </c>
    </row>
    <row r="68" spans="1:9" ht="15">
      <c r="A68" s="10">
        <v>44440</v>
      </c>
      <c r="B68" s="40">
        <v>110.047</v>
      </c>
      <c r="C68" s="9">
        <v>45</v>
      </c>
      <c r="D68" s="9">
        <f t="shared" si="0"/>
        <v>4.7607714715457901</v>
      </c>
      <c r="E68">
        <v>45</v>
      </c>
      <c r="F68">
        <v>45</v>
      </c>
      <c r="G68">
        <v>4.7607714720000001</v>
      </c>
      <c r="H68">
        <v>4.9409002427999997</v>
      </c>
      <c r="I68" t="s">
        <v>243</v>
      </c>
    </row>
    <row r="69" spans="1:9" ht="15">
      <c r="A69" s="10">
        <v>44470</v>
      </c>
      <c r="B69" s="40">
        <v>110.741</v>
      </c>
      <c r="C69" s="9">
        <v>46</v>
      </c>
      <c r="D69" s="9">
        <f t="shared" si="0"/>
        <v>5.3612543527486585</v>
      </c>
      <c r="E69">
        <v>46</v>
      </c>
      <c r="F69">
        <v>46</v>
      </c>
      <c r="G69">
        <v>5.3612543529999996</v>
      </c>
      <c r="H69">
        <v>5.3764299201999997</v>
      </c>
      <c r="I69" t="s">
        <v>244</v>
      </c>
    </row>
    <row r="70" spans="1:9" ht="15">
      <c r="A70" s="10">
        <v>44501</v>
      </c>
      <c r="B70" s="40">
        <v>111.51</v>
      </c>
      <c r="C70" s="9">
        <v>47</v>
      </c>
      <c r="D70" s="9">
        <f t="shared" si="0"/>
        <v>5.9729151817533968</v>
      </c>
      <c r="E70">
        <v>47</v>
      </c>
      <c r="F70">
        <v>47</v>
      </c>
      <c r="G70">
        <v>5.9729151820000004</v>
      </c>
      <c r="H70">
        <v>5.8119595975999996</v>
      </c>
      <c r="I70" t="s">
        <v>245</v>
      </c>
    </row>
    <row r="71" spans="1:9" ht="15">
      <c r="A71" s="10">
        <v>44531</v>
      </c>
      <c r="B71" s="40">
        <v>112.221</v>
      </c>
      <c r="C71" s="9">
        <v>48</v>
      </c>
      <c r="D71" s="9">
        <f t="shared" si="0"/>
        <v>6.1793925631564068</v>
      </c>
      <c r="E71">
        <v>48</v>
      </c>
      <c r="F71">
        <v>48</v>
      </c>
      <c r="G71">
        <v>6.1793925630000004</v>
      </c>
      <c r="H71">
        <v>6.2474892750000004</v>
      </c>
      <c r="I71" t="s">
        <v>246</v>
      </c>
    </row>
    <row r="72" spans="1:9" ht="15">
      <c r="A72" s="16">
        <v>44562</v>
      </c>
      <c r="B72" s="40">
        <v>112.776</v>
      </c>
      <c r="C72" s="14">
        <v>49</v>
      </c>
      <c r="D72" s="14">
        <f t="shared" si="0"/>
        <v>6.3092107123667294</v>
      </c>
      <c r="E72">
        <v>49</v>
      </c>
      <c r="F72">
        <v>49</v>
      </c>
      <c r="G72">
        <v>6.3092107119999996</v>
      </c>
      <c r="H72">
        <v>6.4083166605999997</v>
      </c>
      <c r="I72" t="s">
        <v>247</v>
      </c>
    </row>
    <row r="73" spans="1:9" ht="15">
      <c r="A73" s="10">
        <v>44593</v>
      </c>
      <c r="B73" s="40">
        <v>113.489</v>
      </c>
      <c r="C73" s="9">
        <v>50</v>
      </c>
      <c r="D73" s="9">
        <f t="shared" si="0"/>
        <v>6.5914662208488703</v>
      </c>
      <c r="E73">
        <v>50</v>
      </c>
      <c r="F73">
        <v>50</v>
      </c>
      <c r="G73">
        <v>6.5914662210000001</v>
      </c>
      <c r="H73">
        <v>6.5529590067000001</v>
      </c>
      <c r="I73" t="s">
        <v>248</v>
      </c>
    </row>
    <row r="74" spans="1:9" ht="15">
      <c r="A74" s="10">
        <v>44621</v>
      </c>
      <c r="B74" s="40">
        <v>114.489</v>
      </c>
      <c r="C74" s="9">
        <v>51</v>
      </c>
      <c r="D74" s="9">
        <f t="shared" si="0"/>
        <v>6.9670752672098137</v>
      </c>
      <c r="E74">
        <v>51</v>
      </c>
      <c r="F74">
        <v>51</v>
      </c>
      <c r="G74">
        <v>6.9670752670000002</v>
      </c>
      <c r="H74">
        <v>6.6976013527999996</v>
      </c>
      <c r="I74" t="s">
        <v>249</v>
      </c>
    </row>
    <row r="75" spans="1:9" ht="15">
      <c r="A75" s="10">
        <v>44652</v>
      </c>
      <c r="B75" s="40">
        <v>114.845</v>
      </c>
      <c r="C75" s="9">
        <v>52</v>
      </c>
      <c r="D75" s="9">
        <f t="shared" si="0"/>
        <v>6.7015385758882058</v>
      </c>
      <c r="E75">
        <v>52</v>
      </c>
      <c r="F75">
        <v>52</v>
      </c>
      <c r="G75">
        <v>6.7015385759999999</v>
      </c>
      <c r="H75">
        <v>6.8422436988999999</v>
      </c>
      <c r="I75" t="s">
        <v>250</v>
      </c>
    </row>
    <row r="76" spans="1:9" ht="15">
      <c r="A76" s="10">
        <v>44682</v>
      </c>
      <c r="B76" s="40">
        <v>115.542</v>
      </c>
      <c r="C76" s="9">
        <v>53</v>
      </c>
      <c r="D76" s="9">
        <f t="shared" si="0"/>
        <v>6.8013754344450232</v>
      </c>
      <c r="E76">
        <v>53</v>
      </c>
      <c r="F76">
        <v>53</v>
      </c>
      <c r="G76">
        <v>6.8013754339999997</v>
      </c>
      <c r="H76">
        <v>6.9868860450000003</v>
      </c>
      <c r="I76" t="s">
        <v>251</v>
      </c>
    </row>
    <row r="77" spans="1:9" ht="15">
      <c r="A77" s="10">
        <v>44713</v>
      </c>
      <c r="B77" s="40">
        <v>116.631</v>
      </c>
      <c r="C77" s="9">
        <v>54</v>
      </c>
      <c r="D77" s="9">
        <f t="shared" si="0"/>
        <v>7.2488689447162198</v>
      </c>
      <c r="E77">
        <v>54</v>
      </c>
      <c r="F77">
        <v>54</v>
      </c>
      <c r="G77">
        <v>7.2488689449999999</v>
      </c>
      <c r="H77">
        <v>7.1315283909999998</v>
      </c>
      <c r="I77" t="s">
        <v>252</v>
      </c>
    </row>
    <row r="78" spans="1:9" ht="15">
      <c r="A78" s="16">
        <v>44743</v>
      </c>
      <c r="B78" s="40">
        <v>116.66200000000001</v>
      </c>
      <c r="C78" s="14">
        <v>55</v>
      </c>
      <c r="D78" s="14">
        <f t="shared" si="0"/>
        <v>6.7600091512239766</v>
      </c>
      <c r="E78">
        <v>55</v>
      </c>
      <c r="F78">
        <v>55</v>
      </c>
      <c r="G78">
        <v>6.7600091510000002</v>
      </c>
      <c r="H78">
        <v>6.9431297947999999</v>
      </c>
      <c r="I78" t="s">
        <v>253</v>
      </c>
    </row>
    <row r="79" spans="1:9" ht="15">
      <c r="A79" s="10">
        <v>44774</v>
      </c>
      <c r="B79" s="40">
        <v>117.002</v>
      </c>
      <c r="C79" s="9">
        <v>56</v>
      </c>
      <c r="D79" s="9">
        <f t="shared" si="0"/>
        <v>6.6368939117754246</v>
      </c>
      <c r="E79">
        <v>56</v>
      </c>
      <c r="F79">
        <v>56</v>
      </c>
      <c r="G79">
        <v>6.6368939119999997</v>
      </c>
      <c r="H79">
        <v>6.7013675118</v>
      </c>
      <c r="I79" t="s">
        <v>254</v>
      </c>
    </row>
    <row r="80" spans="1:9" ht="15">
      <c r="A80" s="10">
        <v>44805</v>
      </c>
      <c r="B80" s="40">
        <v>117.377</v>
      </c>
      <c r="C80" s="9">
        <v>57</v>
      </c>
      <c r="D80" s="9">
        <f t="shared" si="0"/>
        <v>6.6607903895608223</v>
      </c>
      <c r="E80">
        <v>57</v>
      </c>
      <c r="F80">
        <v>57</v>
      </c>
      <c r="G80">
        <v>6.6607903899999998</v>
      </c>
      <c r="H80">
        <v>6.4596052288000001</v>
      </c>
      <c r="I80" t="s">
        <v>255</v>
      </c>
    </row>
    <row r="81" spans="1:9" ht="15">
      <c r="A81" s="10">
        <v>44835</v>
      </c>
      <c r="B81" s="40">
        <v>117.89100000000001</v>
      </c>
      <c r="C81" s="9">
        <v>58</v>
      </c>
      <c r="D81" s="9">
        <f t="shared" si="0"/>
        <v>6.4565066235630937</v>
      </c>
      <c r="E81">
        <v>58</v>
      </c>
      <c r="F81">
        <v>58</v>
      </c>
      <c r="G81">
        <v>6.4565066240000002</v>
      </c>
      <c r="H81">
        <v>6.2178429458000002</v>
      </c>
      <c r="I81" t="s">
        <v>256</v>
      </c>
    </row>
    <row r="82" spans="1:9" ht="15">
      <c r="A82" s="10">
        <v>44866</v>
      </c>
      <c r="B82" s="40">
        <v>118.221</v>
      </c>
      <c r="C82" s="9">
        <v>59</v>
      </c>
      <c r="D82" s="9">
        <f t="shared" si="0"/>
        <v>6.0182943233790684</v>
      </c>
      <c r="E82">
        <v>59</v>
      </c>
      <c r="F82">
        <v>59</v>
      </c>
      <c r="G82">
        <v>6.0182943230000001</v>
      </c>
      <c r="H82">
        <v>5.9760806627000003</v>
      </c>
      <c r="I82" t="s">
        <v>257</v>
      </c>
    </row>
    <row r="83" spans="1:9" ht="15">
      <c r="A83" s="10">
        <v>44896</v>
      </c>
      <c r="B83" s="40">
        <v>118.40300000000001</v>
      </c>
      <c r="C83" s="9">
        <v>60</v>
      </c>
      <c r="D83" s="9">
        <f t="shared" si="0"/>
        <v>5.508772867823315</v>
      </c>
      <c r="E83">
        <v>60</v>
      </c>
      <c r="F83">
        <v>60</v>
      </c>
      <c r="G83">
        <v>5.5087728680000003</v>
      </c>
      <c r="H83">
        <v>5.7343183797000004</v>
      </c>
      <c r="I83" t="s">
        <v>258</v>
      </c>
    </row>
    <row r="84" spans="1:9" ht="15">
      <c r="A84" s="10">
        <v>44927</v>
      </c>
      <c r="B84" s="40">
        <v>119.00700000000001</v>
      </c>
      <c r="C84" s="9">
        <v>61</v>
      </c>
      <c r="D84" s="9">
        <f t="shared" si="0"/>
        <v>5.5251117258991354</v>
      </c>
      <c r="E84">
        <v>61</v>
      </c>
      <c r="F84">
        <v>61</v>
      </c>
      <c r="G84">
        <v>5.5251117259999996</v>
      </c>
      <c r="H84">
        <v>5.4925560966999996</v>
      </c>
      <c r="I84" t="s">
        <v>259</v>
      </c>
    </row>
    <row r="85" spans="1:9" ht="15">
      <c r="A85" s="10">
        <v>44958</v>
      </c>
      <c r="B85" s="40">
        <v>119.401</v>
      </c>
      <c r="C85" s="9">
        <v>62</v>
      </c>
      <c r="D85" s="9">
        <f t="shared" si="0"/>
        <v>5.2093154402629249</v>
      </c>
      <c r="E85">
        <v>62</v>
      </c>
      <c r="F85">
        <v>62</v>
      </c>
      <c r="G85">
        <v>5.2093154400000001</v>
      </c>
      <c r="H85">
        <v>5.2507938136999996</v>
      </c>
      <c r="I85" t="s">
        <v>260</v>
      </c>
    </row>
    <row r="86" spans="1:9" ht="15">
      <c r="A86" s="16">
        <v>44986</v>
      </c>
      <c r="B86" s="40">
        <v>119.553</v>
      </c>
      <c r="C86" s="14">
        <v>63</v>
      </c>
      <c r="D86" s="14">
        <f t="shared" si="0"/>
        <v>4.4231323533265146</v>
      </c>
      <c r="E86">
        <v>63</v>
      </c>
      <c r="F86">
        <v>63</v>
      </c>
      <c r="G86">
        <v>4.4231323529999997</v>
      </c>
      <c r="H86">
        <v>4.5600252061999997</v>
      </c>
      <c r="I86" t="s">
        <v>261</v>
      </c>
    </row>
    <row r="87" spans="1:9" ht="15">
      <c r="A87" s="10">
        <v>45017</v>
      </c>
      <c r="B87" s="40">
        <v>119.97</v>
      </c>
      <c r="C87" s="9">
        <v>64</v>
      </c>
      <c r="D87" s="9">
        <f t="shared" si="0"/>
        <v>4.4625364621881669</v>
      </c>
      <c r="E87">
        <v>64</v>
      </c>
      <c r="F87">
        <v>64</v>
      </c>
      <c r="G87">
        <v>4.4625364620000001</v>
      </c>
      <c r="H87">
        <v>4.2300717911000003</v>
      </c>
      <c r="I87" t="s">
        <v>262</v>
      </c>
    </row>
    <row r="88" spans="1:9" ht="15">
      <c r="A88" s="10">
        <v>45047</v>
      </c>
      <c r="B88" s="40">
        <v>120.14</v>
      </c>
      <c r="C88" s="9">
        <v>65</v>
      </c>
      <c r="D88" s="9">
        <f t="shared" si="0"/>
        <v>3.9795052881203361</v>
      </c>
      <c r="E88">
        <v>65</v>
      </c>
      <c r="F88">
        <v>65</v>
      </c>
      <c r="G88">
        <v>3.9795052879999999</v>
      </c>
      <c r="H88">
        <v>3.900118376</v>
      </c>
      <c r="I88" t="s">
        <v>263</v>
      </c>
    </row>
    <row r="89" spans="1:9" ht="15">
      <c r="A89" s="10">
        <v>45078</v>
      </c>
      <c r="B89" s="40">
        <v>120.435</v>
      </c>
      <c r="C89" s="9">
        <v>66</v>
      </c>
      <c r="D89" s="9">
        <f t="shared" si="0"/>
        <v>3.2615685366669256</v>
      </c>
      <c r="E89">
        <v>66</v>
      </c>
      <c r="F89">
        <v>66</v>
      </c>
      <c r="G89">
        <v>3.261568537</v>
      </c>
      <c r="H89">
        <v>3.5701649609000001</v>
      </c>
      <c r="I89" t="s">
        <v>264</v>
      </c>
    </row>
    <row r="90" spans="1:9" ht="15">
      <c r="A90" s="10">
        <v>45108</v>
      </c>
      <c r="B90" s="40">
        <v>120.598</v>
      </c>
      <c r="C90" s="9">
        <v>67</v>
      </c>
      <c r="D90" s="9">
        <f t="shared" ref="D90:D100" si="1">100*(B90-B78)/B78</f>
        <v>3.3738492396838669</v>
      </c>
      <c r="E90">
        <v>67</v>
      </c>
      <c r="F90">
        <v>67</v>
      </c>
      <c r="G90">
        <v>3.3738492400000002</v>
      </c>
      <c r="H90">
        <v>3.2402115457999998</v>
      </c>
      <c r="I90" t="s">
        <v>265</v>
      </c>
    </row>
    <row r="91" spans="1:9" ht="15">
      <c r="A91" s="16">
        <v>45139</v>
      </c>
      <c r="B91" s="40">
        <v>120.965</v>
      </c>
      <c r="C91" s="14">
        <v>68</v>
      </c>
      <c r="D91" s="14">
        <f t="shared" si="1"/>
        <v>3.3871215876651752</v>
      </c>
      <c r="E91">
        <v>68</v>
      </c>
      <c r="F91">
        <v>68</v>
      </c>
      <c r="G91">
        <v>3.3871215879999998</v>
      </c>
      <c r="H91">
        <v>3.4573101756</v>
      </c>
      <c r="I91" t="s">
        <v>266</v>
      </c>
    </row>
    <row r="92" spans="1:9" ht="15">
      <c r="A92" s="10">
        <v>45170</v>
      </c>
      <c r="B92" s="40">
        <v>121.387</v>
      </c>
      <c r="C92" s="9">
        <v>69</v>
      </c>
      <c r="D92" s="9">
        <f t="shared" si="1"/>
        <v>3.4163422135512111</v>
      </c>
      <c r="E92">
        <v>69</v>
      </c>
      <c r="F92">
        <v>69</v>
      </c>
      <c r="G92">
        <v>3.4163422140000002</v>
      </c>
      <c r="H92">
        <v>3.2487815328999998</v>
      </c>
      <c r="I92" t="s">
        <v>314</v>
      </c>
    </row>
    <row r="93" spans="1:9" ht="15">
      <c r="A93" s="10">
        <v>45200</v>
      </c>
      <c r="B93" s="40">
        <v>121.42100000000001</v>
      </c>
      <c r="C93" s="9">
        <v>70</v>
      </c>
      <c r="D93" s="9">
        <f t="shared" si="1"/>
        <v>2.9942913369129118</v>
      </c>
      <c r="E93">
        <v>70</v>
      </c>
      <c r="F93">
        <v>70</v>
      </c>
      <c r="G93">
        <v>2.9942913369999999</v>
      </c>
      <c r="H93">
        <v>3.0402528902000001</v>
      </c>
      <c r="I93" t="s">
        <v>315</v>
      </c>
    </row>
    <row r="94" spans="1:9" ht="15">
      <c r="A94" s="10">
        <v>45231</v>
      </c>
      <c r="B94" s="40">
        <v>121.41500000000001</v>
      </c>
      <c r="C94" s="9">
        <v>71</v>
      </c>
      <c r="D94" s="9">
        <f t="shared" si="1"/>
        <v>2.7017196606355913</v>
      </c>
      <c r="E94">
        <v>71</v>
      </c>
      <c r="F94">
        <v>71</v>
      </c>
      <c r="G94">
        <v>2.7017196609999998</v>
      </c>
      <c r="H94">
        <v>2.8317242475</v>
      </c>
      <c r="I94" t="s">
        <v>316</v>
      </c>
    </row>
    <row r="95" spans="1:9" ht="15">
      <c r="A95" s="10">
        <v>45261</v>
      </c>
      <c r="B95" s="40">
        <v>121.602</v>
      </c>
      <c r="C95" s="9">
        <v>72</v>
      </c>
      <c r="D95" s="9">
        <f t="shared" si="1"/>
        <v>2.7017896506000674</v>
      </c>
      <c r="E95">
        <v>72</v>
      </c>
      <c r="F95">
        <v>72</v>
      </c>
      <c r="G95">
        <v>2.7017896509999999</v>
      </c>
      <c r="H95">
        <v>2.6231956047999998</v>
      </c>
      <c r="I95" t="s">
        <v>317</v>
      </c>
    </row>
    <row r="96" spans="1:9" ht="15">
      <c r="A96" s="16">
        <v>45292</v>
      </c>
      <c r="B96" s="40">
        <v>122.11499999999999</v>
      </c>
      <c r="C96" s="14">
        <v>73</v>
      </c>
      <c r="D96" s="14">
        <f t="shared" si="1"/>
        <v>2.6116110817010676</v>
      </c>
      <c r="E96">
        <v>73</v>
      </c>
      <c r="F96">
        <v>73</v>
      </c>
      <c r="G96">
        <v>2.611611082</v>
      </c>
      <c r="H96">
        <v>2.6710222282</v>
      </c>
      <c r="I96" t="s">
        <v>318</v>
      </c>
    </row>
    <row r="97" spans="1:9" ht="15">
      <c r="A97" s="10">
        <v>45323</v>
      </c>
      <c r="B97" s="40">
        <v>122.494</v>
      </c>
      <c r="C97" s="9">
        <v>74</v>
      </c>
      <c r="D97" s="9">
        <f t="shared" si="1"/>
        <v>2.5904305659081612</v>
      </c>
      <c r="E97">
        <v>74</v>
      </c>
      <c r="F97">
        <v>74</v>
      </c>
      <c r="G97">
        <v>2.5904305660000002</v>
      </c>
      <c r="H97">
        <v>2.6385160446999998</v>
      </c>
    </row>
    <row r="98" spans="1:9" ht="15">
      <c r="A98" s="10">
        <v>45352</v>
      </c>
      <c r="B98" s="40">
        <v>122.91200000000001</v>
      </c>
      <c r="C98" s="9">
        <v>75</v>
      </c>
      <c r="D98" s="9">
        <f t="shared" si="1"/>
        <v>2.8096325479076301</v>
      </c>
      <c r="E98">
        <v>75</v>
      </c>
      <c r="F98">
        <v>75</v>
      </c>
      <c r="G98">
        <v>2.8096325480000002</v>
      </c>
      <c r="H98">
        <v>2.6060098613</v>
      </c>
    </row>
    <row r="99" spans="1:9" ht="15">
      <c r="A99" s="10">
        <v>45383</v>
      </c>
      <c r="B99" s="40">
        <v>123.23399999999999</v>
      </c>
      <c r="C99" s="9">
        <v>76</v>
      </c>
      <c r="D99" s="9">
        <f t="shared" si="1"/>
        <v>2.720680170042507</v>
      </c>
      <c r="E99">
        <v>76</v>
      </c>
      <c r="F99">
        <v>76</v>
      </c>
      <c r="G99">
        <v>2.7206801700000001</v>
      </c>
      <c r="H99">
        <v>2.5735036778999998</v>
      </c>
    </row>
    <row r="100" spans="1:9" ht="15">
      <c r="A100" s="10">
        <v>45413</v>
      </c>
      <c r="B100" s="40">
        <v>123.224</v>
      </c>
      <c r="C100" s="9">
        <v>77</v>
      </c>
      <c r="D100" s="9">
        <f t="shared" si="1"/>
        <v>2.5670051606459157</v>
      </c>
      <c r="E100">
        <v>77</v>
      </c>
      <c r="F100">
        <v>77</v>
      </c>
      <c r="G100">
        <v>2.567005161</v>
      </c>
      <c r="H100">
        <v>2.5409974944</v>
      </c>
      <c r="I100" s="31"/>
    </row>
    <row r="101" spans="1:9" ht="15">
      <c r="A101" s="10">
        <v>45444</v>
      </c>
      <c r="B101" s="40">
        <v>123.369</v>
      </c>
      <c r="C101" s="9">
        <v>78</v>
      </c>
      <c r="D101" s="9">
        <f>100*(B101-B89)/B89</f>
        <v>2.4361688877817889</v>
      </c>
      <c r="E101">
        <v>78</v>
      </c>
      <c r="F101">
        <v>78</v>
      </c>
      <c r="G101">
        <v>2.4361688880000001</v>
      </c>
      <c r="H101">
        <v>2.5084913109999998</v>
      </c>
      <c r="I101" s="31"/>
    </row>
    <row r="102" spans="1:9" ht="15">
      <c r="A102" s="10">
        <v>45474</v>
      </c>
      <c r="B102" s="40">
        <v>123.575</v>
      </c>
      <c r="C102" s="9">
        <v>79</v>
      </c>
      <c r="D102" s="9">
        <f t="shared" ref="D102" si="2">100*(B102-B90)/B90</f>
        <v>2.4685318164480372</v>
      </c>
      <c r="E102">
        <v>79</v>
      </c>
      <c r="F102">
        <v>79</v>
      </c>
      <c r="G102">
        <v>2.468531816</v>
      </c>
      <c r="H102">
        <v>2.4759851275</v>
      </c>
      <c r="I102" s="31"/>
    </row>
    <row r="103" spans="1:9" ht="15">
      <c r="A103" s="10">
        <v>45505</v>
      </c>
      <c r="B103" s="40">
        <v>123.727</v>
      </c>
      <c r="C103" s="9">
        <v>80</v>
      </c>
      <c r="D103" s="9">
        <f>100*(B103-B91)/B91</f>
        <v>2.2833050882486674</v>
      </c>
      <c r="E103">
        <v>80</v>
      </c>
      <c r="F103">
        <v>80</v>
      </c>
      <c r="G103">
        <v>2.2833050880000001</v>
      </c>
      <c r="H103">
        <v>2.4434789441000002</v>
      </c>
      <c r="I103" s="31"/>
    </row>
    <row r="104" spans="1:9" ht="15">
      <c r="A104" s="10">
        <v>45536</v>
      </c>
      <c r="B104" s="40">
        <v>123.93899999999999</v>
      </c>
      <c r="C104" s="9">
        <v>81</v>
      </c>
      <c r="D104" s="9">
        <f t="shared" ref="D104" si="3">100*(B104-B92)/B92</f>
        <v>2.1023668102844559</v>
      </c>
      <c r="E104">
        <v>81</v>
      </c>
      <c r="F104">
        <v>81</v>
      </c>
      <c r="G104">
        <v>2.1023668099999999</v>
      </c>
      <c r="H104">
        <v>2.4109727606</v>
      </c>
      <c r="I104" s="31"/>
    </row>
    <row r="105" spans="1:9" ht="15">
      <c r="A105" s="16">
        <v>45566</v>
      </c>
      <c r="B105" s="39">
        <v>124.235</v>
      </c>
      <c r="C105" s="14">
        <v>82</v>
      </c>
      <c r="D105" s="14">
        <f>100*(B105-B93)/B93</f>
        <v>2.3175562711557252</v>
      </c>
      <c r="E105" s="14">
        <v>82</v>
      </c>
      <c r="F105" s="14">
        <v>82</v>
      </c>
      <c r="G105" s="14">
        <v>2.3175562709999999</v>
      </c>
      <c r="H105" s="14">
        <v>2.3784665772000002</v>
      </c>
      <c r="I105" s="14"/>
    </row>
    <row r="106" spans="1:9" ht="15">
      <c r="A106" s="10">
        <v>45597</v>
      </c>
      <c r="B106" s="40">
        <v>124.387</v>
      </c>
      <c r="C106" s="9">
        <v>83</v>
      </c>
      <c r="D106" s="9">
        <f>100*(B106-B94)/B94</f>
        <v>2.4478029897459077</v>
      </c>
      <c r="E106">
        <v>83</v>
      </c>
      <c r="F106">
        <v>83</v>
      </c>
      <c r="G106">
        <v>2.44780299</v>
      </c>
      <c r="H106">
        <v>2.3459603938</v>
      </c>
      <c r="I106" s="31"/>
    </row>
    <row r="107" spans="1:9" ht="15">
      <c r="A107" s="10">
        <v>45627</v>
      </c>
      <c r="B107" s="40">
        <v>124.705</v>
      </c>
      <c r="C107" s="9">
        <v>84</v>
      </c>
      <c r="D107" s="9">
        <f>100*(B107-B95)/B95</f>
        <v>2.5517672406703791</v>
      </c>
      <c r="E107">
        <v>84</v>
      </c>
      <c r="F107">
        <v>84</v>
      </c>
      <c r="G107">
        <v>2.5517672409999999</v>
      </c>
      <c r="H107">
        <v>2.3134542103000002</v>
      </c>
      <c r="I107" s="31"/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CC7D-8F66-4354-A56D-5B48FD79D422}">
  <dimension ref="A1:I106"/>
  <sheetViews>
    <sheetView topLeftCell="A92" workbookViewId="0">
      <selection activeCell="I100" sqref="I100:I106"/>
    </sheetView>
  </sheetViews>
  <sheetFormatPr defaultRowHeight="13.2"/>
  <sheetData>
    <row r="1" spans="1:3" ht="15">
      <c r="A1" s="37" t="s">
        <v>0</v>
      </c>
      <c r="B1" s="37"/>
      <c r="C1" s="37"/>
    </row>
    <row r="2" spans="1:3" ht="15">
      <c r="A2" s="37" t="s">
        <v>302</v>
      </c>
      <c r="B2" s="37"/>
      <c r="C2" s="37"/>
    </row>
    <row r="3" spans="1:3" ht="15">
      <c r="A3" s="37" t="s">
        <v>2</v>
      </c>
      <c r="B3" s="37"/>
      <c r="C3" s="37"/>
    </row>
    <row r="4" spans="1:3" ht="15">
      <c r="A4" s="37" t="s">
        <v>3</v>
      </c>
      <c r="B4" s="37"/>
      <c r="C4" s="37"/>
    </row>
    <row r="5" spans="1:3" ht="15">
      <c r="A5" s="37" t="s">
        <v>303</v>
      </c>
      <c r="B5" s="37"/>
      <c r="C5" s="37"/>
    </row>
    <row r="6" spans="1:3" ht="15">
      <c r="A6" s="37" t="s">
        <v>304</v>
      </c>
      <c r="B6" s="37"/>
      <c r="C6" s="37"/>
    </row>
    <row r="7" spans="1:3">
      <c r="A7" s="38"/>
      <c r="B7" s="38"/>
      <c r="C7" s="38"/>
    </row>
    <row r="8" spans="1:3" ht="15">
      <c r="A8" s="37" t="s">
        <v>6</v>
      </c>
      <c r="B8" s="37" t="s">
        <v>7</v>
      </c>
      <c r="C8" s="37" t="s">
        <v>305</v>
      </c>
    </row>
    <row r="11" spans="1:3" ht="15">
      <c r="A11" s="36" t="s">
        <v>9</v>
      </c>
      <c r="B11" s="36" t="s">
        <v>6</v>
      </c>
    </row>
    <row r="12" spans="1:3" ht="15">
      <c r="A12" s="34" t="s">
        <v>290</v>
      </c>
      <c r="B12" s="35">
        <v>99.450999999999993</v>
      </c>
    </row>
    <row r="13" spans="1:3" ht="15">
      <c r="A13" s="34" t="s">
        <v>291</v>
      </c>
      <c r="B13" s="35">
        <v>99.585999999999999</v>
      </c>
    </row>
    <row r="14" spans="1:3" ht="15">
      <c r="A14" s="34" t="s">
        <v>292</v>
      </c>
      <c r="B14" s="35">
        <v>99.534999999999997</v>
      </c>
    </row>
    <row r="15" spans="1:3" ht="15">
      <c r="A15" s="34" t="s">
        <v>293</v>
      </c>
      <c r="B15" s="35">
        <v>99.724999999999994</v>
      </c>
    </row>
    <row r="16" spans="1:3" ht="15">
      <c r="A16" s="34" t="s">
        <v>294</v>
      </c>
      <c r="B16" s="35">
        <v>99.682000000000002</v>
      </c>
    </row>
    <row r="17" spans="1:9" ht="15">
      <c r="A17" s="34" t="s">
        <v>295</v>
      </c>
      <c r="B17" s="35">
        <v>99.766000000000005</v>
      </c>
    </row>
    <row r="18" spans="1:9" ht="15">
      <c r="A18" s="34" t="s">
        <v>296</v>
      </c>
      <c r="B18" s="35">
        <v>99.802999999999997</v>
      </c>
    </row>
    <row r="19" spans="1:9" ht="15">
      <c r="A19" s="34" t="s">
        <v>297</v>
      </c>
      <c r="B19" s="35">
        <v>100.027</v>
      </c>
    </row>
    <row r="20" spans="1:9" ht="15">
      <c r="A20" s="34" t="s">
        <v>298</v>
      </c>
      <c r="B20" s="35">
        <v>100.4</v>
      </c>
    </row>
    <row r="21" spans="1:9" ht="15">
      <c r="A21" s="34" t="s">
        <v>299</v>
      </c>
      <c r="B21" s="35">
        <v>100.53100000000001</v>
      </c>
    </row>
    <row r="22" spans="1:9" ht="15">
      <c r="A22" s="34" t="s">
        <v>300</v>
      </c>
      <c r="B22" s="35">
        <v>100.675</v>
      </c>
    </row>
    <row r="23" spans="1:9" ht="15">
      <c r="A23" s="34" t="s">
        <v>301</v>
      </c>
      <c r="B23" s="35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5">
      <c r="A24" s="10">
        <v>43101</v>
      </c>
      <c r="B24" s="35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 ht="15">
      <c r="A25" s="10">
        <v>43132</v>
      </c>
      <c r="B25" s="35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306</v>
      </c>
    </row>
    <row r="26" spans="1:9" ht="15">
      <c r="A26" s="10">
        <v>43160</v>
      </c>
      <c r="B26" s="35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 ht="15">
      <c r="A27" s="10">
        <v>43191</v>
      </c>
      <c r="B27" s="35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 ht="15">
      <c r="A28" s="10">
        <v>43221</v>
      </c>
      <c r="B28" s="35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 ht="15">
      <c r="A29" s="16">
        <v>43252</v>
      </c>
      <c r="B29" s="35">
        <v>102.029</v>
      </c>
      <c r="C29" s="14">
        <v>6</v>
      </c>
      <c r="D29" s="14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 ht="15">
      <c r="A30" s="10">
        <v>43282</v>
      </c>
      <c r="B30" s="35">
        <v>102.137</v>
      </c>
      <c r="C30" s="9">
        <v>7</v>
      </c>
      <c r="D30" s="9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 ht="15">
      <c r="A31" s="10">
        <v>43313</v>
      </c>
      <c r="B31" s="35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 ht="15">
      <c r="A32" s="10">
        <v>43344</v>
      </c>
      <c r="B32" s="35">
        <v>102.41800000000001</v>
      </c>
      <c r="C32" s="9">
        <v>9</v>
      </c>
      <c r="D32" s="9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 ht="15">
      <c r="A33" s="10">
        <v>43374</v>
      </c>
      <c r="B33" s="35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 ht="15">
      <c r="A34" s="10">
        <v>43405</v>
      </c>
      <c r="B34" s="35">
        <v>102.63</v>
      </c>
      <c r="C34" s="9">
        <v>11</v>
      </c>
      <c r="D34" s="9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 ht="15">
      <c r="A35" s="10">
        <v>43435</v>
      </c>
      <c r="B35" s="35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 ht="15">
      <c r="A36" s="16">
        <v>43466</v>
      </c>
      <c r="B36" s="35">
        <v>102.648</v>
      </c>
      <c r="C36" s="14">
        <v>13</v>
      </c>
      <c r="D36" s="14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 ht="15">
      <c r="A37" s="10">
        <v>43497</v>
      </c>
      <c r="B37" s="35">
        <v>102.836</v>
      </c>
      <c r="C37" s="9">
        <v>14</v>
      </c>
      <c r="D37" s="9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 ht="15">
      <c r="A38" s="10">
        <v>43525</v>
      </c>
      <c r="B38" s="35">
        <v>103.069</v>
      </c>
      <c r="C38" s="9">
        <v>15</v>
      </c>
      <c r="D38" s="9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 ht="15">
      <c r="A39" s="10">
        <v>43556</v>
      </c>
      <c r="B39" s="35">
        <v>103.36</v>
      </c>
      <c r="C39" s="9">
        <v>16</v>
      </c>
      <c r="D39" s="9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 ht="15">
      <c r="A40" s="10">
        <v>43586</v>
      </c>
      <c r="B40" s="35">
        <v>103.435</v>
      </c>
      <c r="C40" s="9">
        <v>17</v>
      </c>
      <c r="D40" s="9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 ht="15">
      <c r="A41" s="16">
        <v>43617</v>
      </c>
      <c r="B41" s="35">
        <v>103.48399999999999</v>
      </c>
      <c r="C41" s="14">
        <v>18</v>
      </c>
      <c r="D41" s="14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 ht="15">
      <c r="A42" s="10">
        <v>43647</v>
      </c>
      <c r="B42" s="35">
        <v>103.622</v>
      </c>
      <c r="C42" s="9">
        <v>19</v>
      </c>
      <c r="D42" s="9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 ht="15">
      <c r="A43" s="10">
        <v>43678</v>
      </c>
      <c r="B43" s="35">
        <v>103.67</v>
      </c>
      <c r="C43" s="9">
        <v>20</v>
      </c>
      <c r="D43" s="9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 ht="15">
      <c r="A44" s="10">
        <v>43709</v>
      </c>
      <c r="B44" s="35">
        <v>103.733</v>
      </c>
      <c r="C44" s="9">
        <v>21</v>
      </c>
      <c r="D44" s="9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 ht="15">
      <c r="A45" s="10">
        <v>43739</v>
      </c>
      <c r="B45" s="35">
        <v>103.917</v>
      </c>
      <c r="C45" s="9">
        <v>22</v>
      </c>
      <c r="D45" s="9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 ht="15">
      <c r="A46" s="16">
        <v>43770</v>
      </c>
      <c r="B46" s="35">
        <v>104.024</v>
      </c>
      <c r="C46" s="14">
        <v>23</v>
      </c>
      <c r="D46" s="14">
        <f t="shared" si="0"/>
        <v>1.3582773068303668</v>
      </c>
      <c r="E46">
        <v>23</v>
      </c>
      <c r="F46">
        <v>23</v>
      </c>
      <c r="G46">
        <v>1.358277307</v>
      </c>
      <c r="H46">
        <v>1.7312877777</v>
      </c>
      <c r="I46" t="s">
        <v>223</v>
      </c>
    </row>
    <row r="47" spans="1:9" ht="15">
      <c r="A47" s="10">
        <v>43800</v>
      </c>
      <c r="B47" s="35">
        <v>104.307</v>
      </c>
      <c r="C47" s="9">
        <v>24</v>
      </c>
      <c r="D47" s="9">
        <f t="shared" si="0"/>
        <v>1.5637627676458932</v>
      </c>
      <c r="E47">
        <v>24</v>
      </c>
      <c r="F47">
        <v>24</v>
      </c>
      <c r="G47">
        <v>1.5637627679999999</v>
      </c>
      <c r="H47">
        <v>1.5609958544</v>
      </c>
      <c r="I47" t="s">
        <v>224</v>
      </c>
    </row>
    <row r="48" spans="1:9" ht="15">
      <c r="A48" s="10">
        <v>43831</v>
      </c>
      <c r="B48" s="35">
        <v>104.419</v>
      </c>
      <c r="C48" s="9">
        <v>25</v>
      </c>
      <c r="D48" s="9">
        <f t="shared" si="0"/>
        <v>1.7253136933988007</v>
      </c>
      <c r="E48">
        <v>25</v>
      </c>
      <c r="F48">
        <v>25</v>
      </c>
      <c r="G48">
        <v>1.7253136929999999</v>
      </c>
      <c r="H48">
        <v>1.3907039311</v>
      </c>
      <c r="I48" t="s">
        <v>225</v>
      </c>
    </row>
    <row r="49" spans="1:9" ht="15">
      <c r="A49" s="10">
        <v>43862</v>
      </c>
      <c r="B49" s="35">
        <v>104.541</v>
      </c>
      <c r="C49" s="9">
        <v>26</v>
      </c>
      <c r="D49" s="9">
        <f t="shared" si="0"/>
        <v>1.6579796958263626</v>
      </c>
      <c r="E49">
        <v>26</v>
      </c>
      <c r="F49">
        <v>26</v>
      </c>
      <c r="G49">
        <v>1.6579796959999999</v>
      </c>
      <c r="H49">
        <v>1.2204120079</v>
      </c>
      <c r="I49" t="s">
        <v>226</v>
      </c>
    </row>
    <row r="50" spans="1:9" ht="15">
      <c r="A50" s="10">
        <v>43891</v>
      </c>
      <c r="B50" s="35">
        <v>104.252</v>
      </c>
      <c r="C50" s="9">
        <v>27</v>
      </c>
      <c r="D50" s="9">
        <f t="shared" si="0"/>
        <v>1.1477747916444252</v>
      </c>
      <c r="E50">
        <v>27</v>
      </c>
      <c r="F50">
        <v>27</v>
      </c>
      <c r="G50">
        <v>1.1477747920000001</v>
      </c>
      <c r="H50">
        <v>1.0501200846000001</v>
      </c>
      <c r="I50" t="s">
        <v>227</v>
      </c>
    </row>
    <row r="51" spans="1:9" ht="15">
      <c r="A51" s="10">
        <v>43922</v>
      </c>
      <c r="B51" s="35">
        <v>103.81699999999999</v>
      </c>
      <c r="C51" s="9">
        <v>28</v>
      </c>
      <c r="D51" s="9">
        <f t="shared" si="0"/>
        <v>0.44214396284829105</v>
      </c>
      <c r="E51">
        <v>28</v>
      </c>
      <c r="F51">
        <v>28</v>
      </c>
      <c r="G51">
        <v>0.44214396299999997</v>
      </c>
      <c r="H51">
        <v>0.87982816139999998</v>
      </c>
      <c r="I51" t="s">
        <v>228</v>
      </c>
    </row>
    <row r="52" spans="1:9" ht="15">
      <c r="A52" s="10">
        <v>43952</v>
      </c>
      <c r="B52" s="35">
        <v>103.914</v>
      </c>
      <c r="C52" s="9">
        <v>29</v>
      </c>
      <c r="D52" s="9">
        <f t="shared" si="0"/>
        <v>0.46309276357132423</v>
      </c>
      <c r="E52">
        <v>29</v>
      </c>
      <c r="F52">
        <v>29</v>
      </c>
      <c r="G52">
        <v>0.46309276399999999</v>
      </c>
      <c r="H52">
        <v>0.70953623809999999</v>
      </c>
      <c r="I52" t="s">
        <v>229</v>
      </c>
    </row>
    <row r="53" spans="1:9" ht="15">
      <c r="A53" s="10">
        <v>43983</v>
      </c>
      <c r="B53" s="35">
        <v>104.233</v>
      </c>
      <c r="C53" s="9">
        <v>30</v>
      </c>
      <c r="D53" s="9">
        <f t="shared" si="0"/>
        <v>0.7237833868037663</v>
      </c>
      <c r="E53">
        <v>30</v>
      </c>
      <c r="F53">
        <v>30</v>
      </c>
      <c r="G53">
        <v>0.723783387</v>
      </c>
      <c r="H53">
        <v>0.53924431480000001</v>
      </c>
      <c r="I53" t="s">
        <v>230</v>
      </c>
    </row>
    <row r="54" spans="1:9" ht="15">
      <c r="A54" s="16">
        <v>44013</v>
      </c>
      <c r="B54" s="35">
        <v>104.56399999999999</v>
      </c>
      <c r="C54" s="14">
        <v>31</v>
      </c>
      <c r="D54" s="14">
        <f t="shared" si="0"/>
        <v>0.90907336279939888</v>
      </c>
      <c r="E54">
        <v>31</v>
      </c>
      <c r="F54">
        <v>31</v>
      </c>
      <c r="G54">
        <v>0.90907336299999997</v>
      </c>
      <c r="H54">
        <v>0.93293996089999998</v>
      </c>
      <c r="I54" t="s">
        <v>231</v>
      </c>
    </row>
    <row r="55" spans="1:9" ht="15">
      <c r="A55" s="10">
        <v>44044</v>
      </c>
      <c r="B55" s="35">
        <v>104.887</v>
      </c>
      <c r="C55" s="9">
        <v>32</v>
      </c>
      <c r="D55" s="9">
        <f t="shared" si="0"/>
        <v>1.1739172373878641</v>
      </c>
      <c r="E55">
        <v>32</v>
      </c>
      <c r="F55">
        <v>32</v>
      </c>
      <c r="G55">
        <v>1.1739172369999999</v>
      </c>
      <c r="H55">
        <v>1.0382822183</v>
      </c>
      <c r="I55" t="s">
        <v>232</v>
      </c>
    </row>
    <row r="56" spans="1:9" ht="15">
      <c r="A56" s="10">
        <v>44075</v>
      </c>
      <c r="B56" s="35">
        <v>105.04600000000001</v>
      </c>
      <c r="C56" s="9">
        <v>33</v>
      </c>
      <c r="D56" s="9">
        <f t="shared" si="0"/>
        <v>1.2657495686040146</v>
      </c>
      <c r="E56">
        <v>33</v>
      </c>
      <c r="F56">
        <v>33</v>
      </c>
      <c r="G56">
        <v>1.265749569</v>
      </c>
      <c r="H56">
        <v>1.1436244756</v>
      </c>
      <c r="I56" t="s">
        <v>233</v>
      </c>
    </row>
    <row r="57" spans="1:9" ht="15">
      <c r="A57" s="10">
        <v>44105</v>
      </c>
      <c r="B57" s="35">
        <v>105.10599999999999</v>
      </c>
      <c r="C57" s="9">
        <v>34</v>
      </c>
      <c r="D57" s="9">
        <f t="shared" si="0"/>
        <v>1.144182376319556</v>
      </c>
      <c r="E57">
        <v>34</v>
      </c>
      <c r="F57">
        <v>34</v>
      </c>
      <c r="G57">
        <v>1.1441823760000001</v>
      </c>
      <c r="H57">
        <v>1.2489667330000001</v>
      </c>
      <c r="I57" t="s">
        <v>234</v>
      </c>
    </row>
    <row r="58" spans="1:9" ht="15">
      <c r="A58" s="10">
        <v>44136</v>
      </c>
      <c r="B58" s="35">
        <v>105.22499999999999</v>
      </c>
      <c r="C58" s="9">
        <v>35</v>
      </c>
      <c r="D58" s="9">
        <f t="shared" si="0"/>
        <v>1.1545412597092914</v>
      </c>
      <c r="E58">
        <v>35</v>
      </c>
      <c r="F58">
        <v>35</v>
      </c>
      <c r="G58">
        <v>1.15454126</v>
      </c>
      <c r="H58">
        <v>1.3543089903000001</v>
      </c>
      <c r="I58" t="s">
        <v>109</v>
      </c>
    </row>
    <row r="59" spans="1:9" ht="15">
      <c r="A59" s="10">
        <v>44166</v>
      </c>
      <c r="B59" s="35">
        <v>105.69</v>
      </c>
      <c r="C59" s="9">
        <v>36</v>
      </c>
      <c r="D59" s="9">
        <f t="shared" si="0"/>
        <v>1.3258937559320041</v>
      </c>
      <c r="E59">
        <v>36</v>
      </c>
      <c r="F59">
        <v>36</v>
      </c>
      <c r="G59">
        <v>1.3258937559999999</v>
      </c>
      <c r="H59">
        <v>1.4596512476000001</v>
      </c>
      <c r="I59" t="s">
        <v>235</v>
      </c>
    </row>
    <row r="60" spans="1:9" ht="15">
      <c r="A60" s="10">
        <v>44197</v>
      </c>
      <c r="B60" s="35">
        <v>106.083</v>
      </c>
      <c r="C60" s="9">
        <v>37</v>
      </c>
      <c r="D60" s="9">
        <f t="shared" si="0"/>
        <v>1.5935797125044306</v>
      </c>
      <c r="E60">
        <v>37</v>
      </c>
      <c r="F60">
        <v>37</v>
      </c>
      <c r="G60">
        <v>1.593579713</v>
      </c>
      <c r="H60">
        <v>1.5649935049999999</v>
      </c>
      <c r="I60" t="s">
        <v>236</v>
      </c>
    </row>
    <row r="61" spans="1:9" ht="15">
      <c r="A61" s="10">
        <v>44228</v>
      </c>
      <c r="B61" s="35">
        <v>106.471</v>
      </c>
      <c r="C61" s="9">
        <v>38</v>
      </c>
      <c r="D61" s="9">
        <f t="shared" si="0"/>
        <v>1.846165619230739</v>
      </c>
      <c r="E61">
        <v>38</v>
      </c>
      <c r="F61">
        <v>38</v>
      </c>
      <c r="G61">
        <v>1.846165619</v>
      </c>
      <c r="H61">
        <v>1.6703357622999999</v>
      </c>
      <c r="I61" t="s">
        <v>237</v>
      </c>
    </row>
    <row r="62" spans="1:9" ht="15">
      <c r="A62" s="16">
        <v>44256</v>
      </c>
      <c r="B62" s="35">
        <v>107.032</v>
      </c>
      <c r="C62" s="14">
        <v>39</v>
      </c>
      <c r="D62" s="14">
        <f t="shared" si="0"/>
        <v>2.6666155085753762</v>
      </c>
      <c r="E62">
        <v>39</v>
      </c>
      <c r="F62">
        <v>39</v>
      </c>
      <c r="G62">
        <v>2.6666155090000001</v>
      </c>
      <c r="H62">
        <v>2.9906219456000001</v>
      </c>
      <c r="I62" t="s">
        <v>238</v>
      </c>
    </row>
    <row r="63" spans="1:9" ht="15">
      <c r="A63" s="10">
        <v>44287</v>
      </c>
      <c r="B63" s="35">
        <v>107.63200000000001</v>
      </c>
      <c r="C63" s="9">
        <v>40</v>
      </c>
      <c r="D63" s="9">
        <f t="shared" si="0"/>
        <v>3.6747353516283576</v>
      </c>
      <c r="E63">
        <v>40</v>
      </c>
      <c r="F63">
        <v>40</v>
      </c>
      <c r="G63">
        <v>3.6747353519999999</v>
      </c>
      <c r="H63">
        <v>3.4240644095000001</v>
      </c>
      <c r="I63" t="s">
        <v>110</v>
      </c>
    </row>
    <row r="64" spans="1:9" ht="15">
      <c r="A64" s="10">
        <v>44317</v>
      </c>
      <c r="B64" s="35">
        <v>108.184</v>
      </c>
      <c r="C64" s="9">
        <v>41</v>
      </c>
      <c r="D64" s="9">
        <f t="shared" si="0"/>
        <v>4.1091671959504934</v>
      </c>
      <c r="E64">
        <v>41</v>
      </c>
      <c r="F64">
        <v>41</v>
      </c>
      <c r="G64">
        <v>4.1091671959999996</v>
      </c>
      <c r="H64">
        <v>3.8575068734000002</v>
      </c>
      <c r="I64" t="s">
        <v>239</v>
      </c>
    </row>
    <row r="65" spans="1:9" ht="15">
      <c r="A65" s="10">
        <v>44348</v>
      </c>
      <c r="B65" s="35">
        <v>108.748</v>
      </c>
      <c r="C65" s="9">
        <v>42</v>
      </c>
      <c r="D65" s="9">
        <f t="shared" si="0"/>
        <v>4.3316416106223556</v>
      </c>
      <c r="E65">
        <v>42</v>
      </c>
      <c r="F65">
        <v>42</v>
      </c>
      <c r="G65">
        <v>4.3316416110000002</v>
      </c>
      <c r="H65">
        <v>4.2909493372999998</v>
      </c>
      <c r="I65" t="s">
        <v>240</v>
      </c>
    </row>
    <row r="66" spans="1:9" ht="15">
      <c r="A66" s="10">
        <v>44378</v>
      </c>
      <c r="B66" s="35">
        <v>109.27500000000001</v>
      </c>
      <c r="C66" s="9">
        <v>43</v>
      </c>
      <c r="D66" s="9">
        <f t="shared" si="0"/>
        <v>4.5053746987491037</v>
      </c>
      <c r="E66">
        <v>43</v>
      </c>
      <c r="F66">
        <v>43</v>
      </c>
      <c r="G66">
        <v>4.5053746989999999</v>
      </c>
      <c r="H66">
        <v>4.7243918012000004</v>
      </c>
      <c r="I66" t="s">
        <v>241</v>
      </c>
    </row>
    <row r="67" spans="1:9" ht="15">
      <c r="A67" s="16">
        <v>44409</v>
      </c>
      <c r="B67" s="35">
        <v>109.72</v>
      </c>
      <c r="C67" s="14">
        <v>44</v>
      </c>
      <c r="D67" s="14">
        <f t="shared" si="0"/>
        <v>4.6078160305852949</v>
      </c>
      <c r="E67">
        <v>44</v>
      </c>
      <c r="F67">
        <v>44</v>
      </c>
      <c r="G67">
        <v>4.6078160309999996</v>
      </c>
      <c r="H67">
        <v>4.5053705653999998</v>
      </c>
      <c r="I67" t="s">
        <v>242</v>
      </c>
    </row>
    <row r="68" spans="1:9" ht="15">
      <c r="A68" s="10">
        <v>44440</v>
      </c>
      <c r="B68" s="35">
        <v>110.047</v>
      </c>
      <c r="C68" s="9">
        <v>45</v>
      </c>
      <c r="D68" s="9">
        <f t="shared" si="0"/>
        <v>4.7607714715457901</v>
      </c>
      <c r="E68">
        <v>45</v>
      </c>
      <c r="F68">
        <v>45</v>
      </c>
      <c r="G68">
        <v>4.7607714720000001</v>
      </c>
      <c r="H68">
        <v>4.9409002427999997</v>
      </c>
      <c r="I68" t="s">
        <v>243</v>
      </c>
    </row>
    <row r="69" spans="1:9" ht="15">
      <c r="A69" s="10">
        <v>44470</v>
      </c>
      <c r="B69" s="35">
        <v>110.741</v>
      </c>
      <c r="C69" s="9">
        <v>46</v>
      </c>
      <c r="D69" s="9">
        <f t="shared" si="0"/>
        <v>5.3612543527486585</v>
      </c>
      <c r="E69">
        <v>46</v>
      </c>
      <c r="F69">
        <v>46</v>
      </c>
      <c r="G69">
        <v>5.3612543529999996</v>
      </c>
      <c r="H69">
        <v>5.3764299201999997</v>
      </c>
      <c r="I69" t="s">
        <v>244</v>
      </c>
    </row>
    <row r="70" spans="1:9" ht="15">
      <c r="A70" s="10">
        <v>44501</v>
      </c>
      <c r="B70" s="35">
        <v>111.51</v>
      </c>
      <c r="C70" s="9">
        <v>47</v>
      </c>
      <c r="D70" s="9">
        <f t="shared" si="0"/>
        <v>5.9729151817533968</v>
      </c>
      <c r="E70">
        <v>47</v>
      </c>
      <c r="F70">
        <v>47</v>
      </c>
      <c r="G70">
        <v>5.9729151820000004</v>
      </c>
      <c r="H70">
        <v>5.8119595975999996</v>
      </c>
      <c r="I70" t="s">
        <v>245</v>
      </c>
    </row>
    <row r="71" spans="1:9" ht="15">
      <c r="A71" s="10">
        <v>44531</v>
      </c>
      <c r="B71" s="35">
        <v>112.221</v>
      </c>
      <c r="C71" s="9">
        <v>48</v>
      </c>
      <c r="D71" s="9">
        <f t="shared" si="0"/>
        <v>6.1793925631564068</v>
      </c>
      <c r="E71">
        <v>48</v>
      </c>
      <c r="F71">
        <v>48</v>
      </c>
      <c r="G71">
        <v>6.1793925630000004</v>
      </c>
      <c r="H71">
        <v>6.2474892750000004</v>
      </c>
      <c r="I71" t="s">
        <v>246</v>
      </c>
    </row>
    <row r="72" spans="1:9" ht="15">
      <c r="A72" s="16">
        <v>44562</v>
      </c>
      <c r="B72" s="35">
        <v>112.776</v>
      </c>
      <c r="C72" s="14">
        <v>49</v>
      </c>
      <c r="D72" s="14">
        <f t="shared" si="0"/>
        <v>6.3092107123667294</v>
      </c>
      <c r="E72">
        <v>49</v>
      </c>
      <c r="F72">
        <v>49</v>
      </c>
      <c r="G72">
        <v>6.3092107119999996</v>
      </c>
      <c r="H72">
        <v>6.4083166605999997</v>
      </c>
      <c r="I72" t="s">
        <v>247</v>
      </c>
    </row>
    <row r="73" spans="1:9" ht="15">
      <c r="A73" s="10">
        <v>44593</v>
      </c>
      <c r="B73" s="35">
        <v>113.489</v>
      </c>
      <c r="C73" s="9">
        <v>50</v>
      </c>
      <c r="D73" s="9">
        <f t="shared" si="0"/>
        <v>6.5914662208488703</v>
      </c>
      <c r="E73">
        <v>50</v>
      </c>
      <c r="F73">
        <v>50</v>
      </c>
      <c r="G73">
        <v>6.5914662210000001</v>
      </c>
      <c r="H73">
        <v>6.5529590067000001</v>
      </c>
      <c r="I73" t="s">
        <v>248</v>
      </c>
    </row>
    <row r="74" spans="1:9" ht="15">
      <c r="A74" s="10">
        <v>44621</v>
      </c>
      <c r="B74" s="35">
        <v>114.489</v>
      </c>
      <c r="C74" s="9">
        <v>51</v>
      </c>
      <c r="D74" s="9">
        <f t="shared" si="0"/>
        <v>6.9670752672098137</v>
      </c>
      <c r="E74">
        <v>51</v>
      </c>
      <c r="F74">
        <v>51</v>
      </c>
      <c r="G74">
        <v>6.9670752670000002</v>
      </c>
      <c r="H74">
        <v>6.6976013527999996</v>
      </c>
      <c r="I74" t="s">
        <v>249</v>
      </c>
    </row>
    <row r="75" spans="1:9" ht="15">
      <c r="A75" s="10">
        <v>44652</v>
      </c>
      <c r="B75" s="35">
        <v>114.845</v>
      </c>
      <c r="C75" s="9">
        <v>52</v>
      </c>
      <c r="D75" s="9">
        <f t="shared" si="0"/>
        <v>6.7015385758882058</v>
      </c>
      <c r="E75">
        <v>52</v>
      </c>
      <c r="F75">
        <v>52</v>
      </c>
      <c r="G75">
        <v>6.7015385759999999</v>
      </c>
      <c r="H75">
        <v>6.8422436988999999</v>
      </c>
      <c r="I75" t="s">
        <v>250</v>
      </c>
    </row>
    <row r="76" spans="1:9" ht="15">
      <c r="A76" s="10">
        <v>44682</v>
      </c>
      <c r="B76" s="35">
        <v>115.542</v>
      </c>
      <c r="C76" s="9">
        <v>53</v>
      </c>
      <c r="D76" s="9">
        <f t="shared" si="0"/>
        <v>6.8013754344450232</v>
      </c>
      <c r="E76">
        <v>53</v>
      </c>
      <c r="F76">
        <v>53</v>
      </c>
      <c r="G76">
        <v>6.8013754339999997</v>
      </c>
      <c r="H76">
        <v>6.9868860450000003</v>
      </c>
      <c r="I76" t="s">
        <v>251</v>
      </c>
    </row>
    <row r="77" spans="1:9" ht="15">
      <c r="A77" s="10">
        <v>44713</v>
      </c>
      <c r="B77" s="35">
        <v>116.631</v>
      </c>
      <c r="C77" s="9">
        <v>54</v>
      </c>
      <c r="D77" s="9">
        <f t="shared" si="0"/>
        <v>7.2488689447162198</v>
      </c>
      <c r="E77">
        <v>54</v>
      </c>
      <c r="F77">
        <v>54</v>
      </c>
      <c r="G77">
        <v>7.2488689449999999</v>
      </c>
      <c r="H77">
        <v>7.1315283909999998</v>
      </c>
      <c r="I77" t="s">
        <v>252</v>
      </c>
    </row>
    <row r="78" spans="1:9" ht="15">
      <c r="A78" s="16">
        <v>44743</v>
      </c>
      <c r="B78" s="35">
        <v>116.66200000000001</v>
      </c>
      <c r="C78" s="14">
        <v>55</v>
      </c>
      <c r="D78" s="14">
        <f t="shared" si="0"/>
        <v>6.7600091512239766</v>
      </c>
      <c r="E78">
        <v>55</v>
      </c>
      <c r="F78">
        <v>55</v>
      </c>
      <c r="G78">
        <v>6.7600091510000002</v>
      </c>
      <c r="H78">
        <v>6.9431297947999999</v>
      </c>
      <c r="I78" t="s">
        <v>253</v>
      </c>
    </row>
    <row r="79" spans="1:9" ht="15">
      <c r="A79" s="10">
        <v>44774</v>
      </c>
      <c r="B79" s="35">
        <v>117.002</v>
      </c>
      <c r="C79" s="9">
        <v>56</v>
      </c>
      <c r="D79" s="9">
        <f t="shared" si="0"/>
        <v>6.6368939117754246</v>
      </c>
      <c r="E79">
        <v>56</v>
      </c>
      <c r="F79">
        <v>56</v>
      </c>
      <c r="G79">
        <v>6.6368939119999997</v>
      </c>
      <c r="H79">
        <v>6.7013675118</v>
      </c>
      <c r="I79" t="s">
        <v>254</v>
      </c>
    </row>
    <row r="80" spans="1:9" ht="15">
      <c r="A80" s="10">
        <v>44805</v>
      </c>
      <c r="B80" s="35">
        <v>117.377</v>
      </c>
      <c r="C80" s="9">
        <v>57</v>
      </c>
      <c r="D80" s="9">
        <f t="shared" si="0"/>
        <v>6.6607903895608223</v>
      </c>
      <c r="E80">
        <v>57</v>
      </c>
      <c r="F80">
        <v>57</v>
      </c>
      <c r="G80">
        <v>6.6607903899999998</v>
      </c>
      <c r="H80">
        <v>6.4596052288000001</v>
      </c>
      <c r="I80" t="s">
        <v>255</v>
      </c>
    </row>
    <row r="81" spans="1:9" ht="15">
      <c r="A81" s="10">
        <v>44835</v>
      </c>
      <c r="B81" s="35">
        <v>117.89100000000001</v>
      </c>
      <c r="C81" s="9">
        <v>58</v>
      </c>
      <c r="D81" s="9">
        <f t="shared" si="0"/>
        <v>6.4565066235630937</v>
      </c>
      <c r="E81">
        <v>58</v>
      </c>
      <c r="F81">
        <v>58</v>
      </c>
      <c r="G81">
        <v>6.4565066240000002</v>
      </c>
      <c r="H81">
        <v>6.2178429458000002</v>
      </c>
      <c r="I81" t="s">
        <v>256</v>
      </c>
    </row>
    <row r="82" spans="1:9" ht="15">
      <c r="A82" s="10">
        <v>44866</v>
      </c>
      <c r="B82" s="35">
        <v>118.221</v>
      </c>
      <c r="C82" s="9">
        <v>59</v>
      </c>
      <c r="D82" s="9">
        <f t="shared" si="0"/>
        <v>6.0182943233790684</v>
      </c>
      <c r="E82">
        <v>59</v>
      </c>
      <c r="F82">
        <v>59</v>
      </c>
      <c r="G82">
        <v>6.0182943230000001</v>
      </c>
      <c r="H82">
        <v>5.9760806627000003</v>
      </c>
      <c r="I82" t="s">
        <v>257</v>
      </c>
    </row>
    <row r="83" spans="1:9" ht="15">
      <c r="A83" s="10">
        <v>44896</v>
      </c>
      <c r="B83" s="35">
        <v>118.40300000000001</v>
      </c>
      <c r="C83" s="9">
        <v>60</v>
      </c>
      <c r="D83" s="9">
        <f t="shared" si="0"/>
        <v>5.508772867823315</v>
      </c>
      <c r="E83">
        <v>60</v>
      </c>
      <c r="F83">
        <v>60</v>
      </c>
      <c r="G83">
        <v>5.5087728680000003</v>
      </c>
      <c r="H83">
        <v>5.7343183797000004</v>
      </c>
      <c r="I83" t="s">
        <v>258</v>
      </c>
    </row>
    <row r="84" spans="1:9" ht="15">
      <c r="A84" s="10">
        <v>44927</v>
      </c>
      <c r="B84" s="35">
        <v>119.00700000000001</v>
      </c>
      <c r="C84" s="9">
        <v>61</v>
      </c>
      <c r="D84" s="9">
        <f t="shared" si="0"/>
        <v>5.5251117258991354</v>
      </c>
      <c r="E84">
        <v>61</v>
      </c>
      <c r="F84">
        <v>61</v>
      </c>
      <c r="G84">
        <v>5.5251117259999996</v>
      </c>
      <c r="H84">
        <v>5.4925560966999996</v>
      </c>
      <c r="I84" t="s">
        <v>259</v>
      </c>
    </row>
    <row r="85" spans="1:9" ht="15">
      <c r="A85" s="10">
        <v>44958</v>
      </c>
      <c r="B85" s="35">
        <v>119.401</v>
      </c>
      <c r="C85" s="9">
        <v>62</v>
      </c>
      <c r="D85" s="9">
        <f t="shared" si="0"/>
        <v>5.2093154402629249</v>
      </c>
      <c r="E85">
        <v>62</v>
      </c>
      <c r="F85">
        <v>62</v>
      </c>
      <c r="G85">
        <v>5.2093154400000001</v>
      </c>
      <c r="H85">
        <v>5.2507938136999996</v>
      </c>
      <c r="I85" t="s">
        <v>260</v>
      </c>
    </row>
    <row r="86" spans="1:9" ht="15">
      <c r="A86" s="16">
        <v>44986</v>
      </c>
      <c r="B86" s="35">
        <v>119.553</v>
      </c>
      <c r="C86" s="14">
        <v>63</v>
      </c>
      <c r="D86" s="14">
        <f t="shared" si="0"/>
        <v>4.4231323533265146</v>
      </c>
      <c r="E86">
        <v>63</v>
      </c>
      <c r="F86">
        <v>63</v>
      </c>
      <c r="G86">
        <v>4.4231323529999997</v>
      </c>
      <c r="H86">
        <v>4.5600252061999997</v>
      </c>
      <c r="I86" t="s">
        <v>261</v>
      </c>
    </row>
    <row r="87" spans="1:9" ht="15">
      <c r="A87" s="10">
        <v>45017</v>
      </c>
      <c r="B87" s="35">
        <v>119.97</v>
      </c>
      <c r="C87" s="9">
        <v>64</v>
      </c>
      <c r="D87" s="9">
        <f t="shared" si="0"/>
        <v>4.4625364621881669</v>
      </c>
      <c r="E87">
        <v>64</v>
      </c>
      <c r="F87">
        <v>64</v>
      </c>
      <c r="G87">
        <v>4.4625364620000001</v>
      </c>
      <c r="H87">
        <v>4.2300717911000003</v>
      </c>
      <c r="I87" t="s">
        <v>262</v>
      </c>
    </row>
    <row r="88" spans="1:9" ht="15">
      <c r="A88" s="10">
        <v>45047</v>
      </c>
      <c r="B88" s="35">
        <v>120.14</v>
      </c>
      <c r="C88" s="9">
        <v>65</v>
      </c>
      <c r="D88" s="9">
        <f t="shared" si="0"/>
        <v>3.9795052881203361</v>
      </c>
      <c r="E88">
        <v>65</v>
      </c>
      <c r="F88">
        <v>65</v>
      </c>
      <c r="G88">
        <v>3.9795052879999999</v>
      </c>
      <c r="H88">
        <v>3.900118376</v>
      </c>
      <c r="I88" t="s">
        <v>263</v>
      </c>
    </row>
    <row r="89" spans="1:9" ht="15">
      <c r="A89" s="10">
        <v>45078</v>
      </c>
      <c r="B89" s="35">
        <v>120.435</v>
      </c>
      <c r="C89" s="9">
        <v>66</v>
      </c>
      <c r="D89" s="9">
        <f t="shared" si="0"/>
        <v>3.2615685366669256</v>
      </c>
      <c r="E89">
        <v>66</v>
      </c>
      <c r="F89">
        <v>66</v>
      </c>
      <c r="G89">
        <v>3.261568537</v>
      </c>
      <c r="H89">
        <v>3.5701649609000001</v>
      </c>
      <c r="I89" t="s">
        <v>264</v>
      </c>
    </row>
    <row r="90" spans="1:9" ht="15">
      <c r="A90" s="10">
        <v>45108</v>
      </c>
      <c r="B90" s="35">
        <v>120.598</v>
      </c>
      <c r="C90" s="9">
        <v>67</v>
      </c>
      <c r="D90" s="9">
        <f t="shared" ref="D90:D100" si="1">100*(B90-B78)/B78</f>
        <v>3.3738492396838669</v>
      </c>
      <c r="E90">
        <v>67</v>
      </c>
      <c r="F90">
        <v>67</v>
      </c>
      <c r="G90">
        <v>3.3738492400000002</v>
      </c>
      <c r="H90">
        <v>3.2402115457999998</v>
      </c>
      <c r="I90" t="s">
        <v>265</v>
      </c>
    </row>
    <row r="91" spans="1:9" ht="15">
      <c r="A91" s="16">
        <v>45139</v>
      </c>
      <c r="B91" s="35">
        <v>120.965</v>
      </c>
      <c r="C91" s="14">
        <v>68</v>
      </c>
      <c r="D91" s="14">
        <f t="shared" si="1"/>
        <v>3.3871215876651752</v>
      </c>
      <c r="E91">
        <v>68</v>
      </c>
      <c r="F91">
        <v>68</v>
      </c>
      <c r="G91">
        <v>3.3871215879999998</v>
      </c>
      <c r="H91">
        <v>3.4573101756</v>
      </c>
      <c r="I91" t="s">
        <v>266</v>
      </c>
    </row>
    <row r="92" spans="1:9" ht="15">
      <c r="A92" s="10">
        <v>45170</v>
      </c>
      <c r="B92" s="35">
        <v>121.387</v>
      </c>
      <c r="C92" s="9">
        <v>69</v>
      </c>
      <c r="D92" s="9">
        <f t="shared" si="1"/>
        <v>3.4163422135512111</v>
      </c>
      <c r="E92">
        <v>69</v>
      </c>
      <c r="F92">
        <v>69</v>
      </c>
      <c r="G92">
        <v>3.4163422140000002</v>
      </c>
      <c r="H92">
        <v>3.2487815328999998</v>
      </c>
      <c r="I92" t="s">
        <v>307</v>
      </c>
    </row>
    <row r="93" spans="1:9" ht="15">
      <c r="A93" s="10">
        <v>45200</v>
      </c>
      <c r="B93" s="35">
        <v>121.42100000000001</v>
      </c>
      <c r="C93" s="9">
        <v>70</v>
      </c>
      <c r="D93" s="9">
        <f t="shared" si="1"/>
        <v>2.9942913369129118</v>
      </c>
      <c r="E93">
        <v>70</v>
      </c>
      <c r="F93">
        <v>70</v>
      </c>
      <c r="G93">
        <v>2.9942913369999999</v>
      </c>
      <c r="H93">
        <v>3.0402528902000001</v>
      </c>
      <c r="I93" t="s">
        <v>308</v>
      </c>
    </row>
    <row r="94" spans="1:9" ht="15">
      <c r="A94" s="10">
        <v>45231</v>
      </c>
      <c r="B94" s="35">
        <v>121.41500000000001</v>
      </c>
      <c r="C94" s="9">
        <v>71</v>
      </c>
      <c r="D94" s="9">
        <f t="shared" si="1"/>
        <v>2.7017196606355913</v>
      </c>
      <c r="E94">
        <v>71</v>
      </c>
      <c r="F94">
        <v>71</v>
      </c>
      <c r="G94">
        <v>2.7017196609999998</v>
      </c>
      <c r="H94">
        <v>2.8317242475</v>
      </c>
      <c r="I94" t="s">
        <v>311</v>
      </c>
    </row>
    <row r="95" spans="1:9" ht="15">
      <c r="A95" s="10">
        <v>45261</v>
      </c>
      <c r="B95" s="35">
        <v>121.602</v>
      </c>
      <c r="C95" s="9">
        <v>72</v>
      </c>
      <c r="D95" s="9">
        <f t="shared" si="1"/>
        <v>2.7017896506000674</v>
      </c>
      <c r="E95">
        <v>72</v>
      </c>
      <c r="F95">
        <v>72</v>
      </c>
      <c r="G95">
        <v>2.7017896509999999</v>
      </c>
      <c r="H95">
        <v>2.6231956047999998</v>
      </c>
      <c r="I95" t="s">
        <v>309</v>
      </c>
    </row>
    <row r="96" spans="1:9" ht="15">
      <c r="A96" s="16">
        <v>45292</v>
      </c>
      <c r="B96" s="35">
        <v>122.11499999999999</v>
      </c>
      <c r="C96" s="14">
        <v>73</v>
      </c>
      <c r="D96" s="14">
        <f t="shared" si="1"/>
        <v>2.6116110817010676</v>
      </c>
      <c r="E96">
        <v>73</v>
      </c>
      <c r="F96">
        <v>73</v>
      </c>
      <c r="G96">
        <v>2.611611082</v>
      </c>
      <c r="H96">
        <v>2.7158118820000001</v>
      </c>
      <c r="I96" t="s">
        <v>310</v>
      </c>
    </row>
    <row r="97" spans="1:9" ht="15">
      <c r="A97" s="10">
        <v>45323</v>
      </c>
      <c r="B97" s="35">
        <v>122.494</v>
      </c>
      <c r="C97" s="9">
        <v>74</v>
      </c>
      <c r="D97" s="9">
        <f t="shared" si="1"/>
        <v>2.5904305659081612</v>
      </c>
      <c r="E97">
        <v>74</v>
      </c>
      <c r="F97">
        <v>74</v>
      </c>
      <c r="G97">
        <v>2.5904305660000002</v>
      </c>
      <c r="H97">
        <v>2.6697602385999999</v>
      </c>
    </row>
    <row r="98" spans="1:9" ht="15">
      <c r="A98" s="10">
        <v>45352</v>
      </c>
      <c r="B98" s="35">
        <v>122.91200000000001</v>
      </c>
      <c r="C98" s="9">
        <v>75</v>
      </c>
      <c r="D98" s="9">
        <f t="shared" si="1"/>
        <v>2.8096325479076301</v>
      </c>
      <c r="E98">
        <v>75</v>
      </c>
      <c r="F98">
        <v>75</v>
      </c>
      <c r="G98">
        <v>2.8096325480000002</v>
      </c>
      <c r="H98">
        <v>2.6237085952000001</v>
      </c>
    </row>
    <row r="99" spans="1:9" ht="15">
      <c r="A99" s="10">
        <v>45383</v>
      </c>
      <c r="B99" s="35">
        <v>123.23399999999999</v>
      </c>
      <c r="C99" s="9">
        <v>76</v>
      </c>
      <c r="D99" s="9">
        <f t="shared" si="1"/>
        <v>2.720680170042507</v>
      </c>
      <c r="E99">
        <v>76</v>
      </c>
      <c r="F99">
        <v>76</v>
      </c>
      <c r="G99">
        <v>2.7206801700000001</v>
      </c>
      <c r="H99">
        <v>2.5776569516999999</v>
      </c>
    </row>
    <row r="100" spans="1:9" ht="15">
      <c r="A100" s="10">
        <v>45413</v>
      </c>
      <c r="B100" s="35">
        <v>123.224</v>
      </c>
      <c r="C100" s="9">
        <v>77</v>
      </c>
      <c r="D100" s="9">
        <f t="shared" si="1"/>
        <v>2.5670051606459157</v>
      </c>
      <c r="E100">
        <v>77</v>
      </c>
      <c r="F100">
        <v>77</v>
      </c>
      <c r="G100">
        <v>2.567005161</v>
      </c>
      <c r="H100">
        <v>2.5316053083000001</v>
      </c>
      <c r="I100" s="31"/>
    </row>
    <row r="101" spans="1:9" ht="15">
      <c r="A101" s="10">
        <v>45444</v>
      </c>
      <c r="B101" s="35">
        <v>123.369</v>
      </c>
      <c r="C101" s="9">
        <v>78</v>
      </c>
      <c r="D101" s="9">
        <f>100*(B101-B89)/B89</f>
        <v>2.4361688877817889</v>
      </c>
      <c r="E101">
        <v>78</v>
      </c>
      <c r="F101">
        <v>78</v>
      </c>
      <c r="G101">
        <v>2.4361688880000001</v>
      </c>
      <c r="H101">
        <v>2.4855536647999998</v>
      </c>
      <c r="I101" s="31"/>
    </row>
    <row r="102" spans="1:9" ht="15">
      <c r="A102" s="10">
        <v>45474</v>
      </c>
      <c r="B102" s="35">
        <v>123.575</v>
      </c>
      <c r="C102" s="9">
        <v>79</v>
      </c>
      <c r="D102" s="9">
        <f t="shared" ref="D102" si="2">100*(B102-B90)/B90</f>
        <v>2.4685318164480372</v>
      </c>
      <c r="E102">
        <v>79</v>
      </c>
      <c r="F102">
        <v>79</v>
      </c>
      <c r="G102">
        <v>2.468531816</v>
      </c>
      <c r="H102">
        <v>2.4395020214000001</v>
      </c>
      <c r="I102" s="31"/>
    </row>
    <row r="103" spans="1:9" ht="15">
      <c r="A103" s="10">
        <v>45505</v>
      </c>
      <c r="B103" s="35">
        <v>123.727</v>
      </c>
      <c r="C103" s="9">
        <v>80</v>
      </c>
      <c r="D103" s="9">
        <f>100*(B103-B91)/B91</f>
        <v>2.2833050882486674</v>
      </c>
      <c r="E103">
        <v>80</v>
      </c>
      <c r="F103">
        <v>80</v>
      </c>
      <c r="G103">
        <v>2.2833050880000001</v>
      </c>
      <c r="H103">
        <v>2.3934503778999998</v>
      </c>
      <c r="I103" s="31"/>
    </row>
    <row r="104" spans="1:9" ht="15">
      <c r="A104" s="10">
        <v>45536</v>
      </c>
      <c r="B104" s="35">
        <v>123.93899999999999</v>
      </c>
      <c r="C104" s="9">
        <v>81</v>
      </c>
      <c r="D104" s="9">
        <f t="shared" ref="D104" si="3">100*(B104-B92)/B92</f>
        <v>2.1023668102844559</v>
      </c>
      <c r="E104">
        <v>81</v>
      </c>
      <c r="F104">
        <v>81</v>
      </c>
      <c r="G104">
        <v>2.1023668099999999</v>
      </c>
      <c r="H104">
        <v>2.3473987345</v>
      </c>
      <c r="I104" s="31"/>
    </row>
    <row r="105" spans="1:9" ht="15">
      <c r="A105" s="10">
        <v>45566</v>
      </c>
      <c r="B105" s="35">
        <v>124.223</v>
      </c>
      <c r="C105" s="9">
        <v>82</v>
      </c>
      <c r="D105" s="9">
        <f>100*(B105-B93)/B93</f>
        <v>2.3076733019823528</v>
      </c>
      <c r="E105">
        <v>82</v>
      </c>
      <c r="F105">
        <v>82</v>
      </c>
      <c r="G105">
        <v>2.307673302</v>
      </c>
      <c r="H105">
        <v>2.3013470909999998</v>
      </c>
      <c r="I105" s="31"/>
    </row>
    <row r="106" spans="1:9" ht="15">
      <c r="A106" s="10">
        <v>45597</v>
      </c>
      <c r="B106" s="35">
        <v>124.38200000000001</v>
      </c>
      <c r="C106" s="9">
        <v>83</v>
      </c>
      <c r="D106" s="9">
        <f t="shared" ref="D106" si="4">100*(B106-B94)/B94</f>
        <v>2.4436848824280348</v>
      </c>
      <c r="E106">
        <v>83</v>
      </c>
      <c r="F106">
        <v>83</v>
      </c>
      <c r="G106">
        <v>2.4436848819999999</v>
      </c>
      <c r="H106">
        <v>2.2552954476</v>
      </c>
      <c r="I106" s="31"/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0FEB-EB0A-44F1-81DE-4EB2BE0A978B}">
  <dimension ref="A1:I105"/>
  <sheetViews>
    <sheetView topLeftCell="A95" zoomScale="110" zoomScaleNormal="110" workbookViewId="0">
      <selection activeCell="I100" sqref="I100:I105"/>
    </sheetView>
  </sheetViews>
  <sheetFormatPr defaultRowHeight="13.2"/>
  <cols>
    <col min="1" max="1" width="15.44140625" customWidth="1"/>
  </cols>
  <sheetData>
    <row r="1" spans="1:2">
      <c r="A1" s="31" t="s">
        <v>0</v>
      </c>
      <c r="B1" s="31"/>
    </row>
    <row r="2" spans="1:2">
      <c r="A2" s="31" t="s">
        <v>1</v>
      </c>
      <c r="B2" s="31"/>
    </row>
    <row r="3" spans="1:2">
      <c r="A3" s="31" t="s">
        <v>2</v>
      </c>
      <c r="B3" s="31"/>
    </row>
    <row r="4" spans="1:2">
      <c r="A4" s="31" t="s">
        <v>3</v>
      </c>
      <c r="B4" s="31"/>
    </row>
    <row r="5" spans="1:2">
      <c r="A5" s="31" t="s">
        <v>4</v>
      </c>
      <c r="B5" s="31"/>
    </row>
    <row r="6" spans="1:2">
      <c r="A6" s="31" t="s">
        <v>5</v>
      </c>
      <c r="B6" s="31"/>
    </row>
    <row r="8" spans="1:2">
      <c r="A8" s="31" t="s">
        <v>6</v>
      </c>
      <c r="B8" s="31" t="s">
        <v>7</v>
      </c>
    </row>
    <row r="10" spans="1:2">
      <c r="A10" s="31" t="s">
        <v>8</v>
      </c>
      <c r="B10" s="31"/>
    </row>
    <row r="11" spans="1:2">
      <c r="A11" s="31" t="s">
        <v>9</v>
      </c>
      <c r="B11" s="31" t="s">
        <v>6</v>
      </c>
    </row>
    <row r="12" spans="1:2">
      <c r="A12" s="32">
        <v>42736</v>
      </c>
      <c r="B12" s="33">
        <v>99.450999999999993</v>
      </c>
    </row>
    <row r="13" spans="1:2">
      <c r="A13" s="32">
        <v>42767</v>
      </c>
      <c r="B13" s="33">
        <v>99.585999999999999</v>
      </c>
    </row>
    <row r="14" spans="1:2">
      <c r="A14" s="32">
        <v>42795</v>
      </c>
      <c r="B14" s="33">
        <v>99.534999999999997</v>
      </c>
    </row>
    <row r="15" spans="1:2">
      <c r="A15" s="32">
        <v>42826</v>
      </c>
      <c r="B15" s="33">
        <v>99.724999999999994</v>
      </c>
    </row>
    <row r="16" spans="1:2">
      <c r="A16" s="32">
        <v>42856</v>
      </c>
      <c r="B16" s="33">
        <v>99.682000000000002</v>
      </c>
    </row>
    <row r="17" spans="1:9">
      <c r="A17" s="32">
        <v>42887</v>
      </c>
      <c r="B17" s="33">
        <v>99.766000000000005</v>
      </c>
    </row>
    <row r="18" spans="1:9">
      <c r="A18" s="32">
        <v>42917</v>
      </c>
      <c r="B18" s="33">
        <v>99.802999999999997</v>
      </c>
    </row>
    <row r="19" spans="1:9">
      <c r="A19" s="32">
        <v>42948</v>
      </c>
      <c r="B19" s="33">
        <v>100.027</v>
      </c>
    </row>
    <row r="20" spans="1:9">
      <c r="A20" s="32">
        <v>42979</v>
      </c>
      <c r="B20" s="33">
        <v>100.4</v>
      </c>
    </row>
    <row r="21" spans="1:9">
      <c r="A21" s="32">
        <v>43009</v>
      </c>
      <c r="B21" s="33">
        <v>100.53100000000001</v>
      </c>
    </row>
    <row r="22" spans="1:9">
      <c r="A22" s="32">
        <v>43040</v>
      </c>
      <c r="B22" s="33">
        <v>100.675</v>
      </c>
    </row>
    <row r="23" spans="1:9" ht="13.8">
      <c r="A23" s="32">
        <v>43070</v>
      </c>
      <c r="B23" s="33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10">
        <v>43101</v>
      </c>
      <c r="B24" s="33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>
      <c r="A25" s="10">
        <v>43132</v>
      </c>
      <c r="B25" s="33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278</v>
      </c>
    </row>
    <row r="26" spans="1:9">
      <c r="A26" s="10">
        <v>43160</v>
      </c>
      <c r="B26" s="33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10">
        <v>43191</v>
      </c>
      <c r="B27" s="33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10">
        <v>43221</v>
      </c>
      <c r="B28" s="33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16">
        <v>43252</v>
      </c>
      <c r="B29" s="33">
        <v>102.029</v>
      </c>
      <c r="C29" s="14">
        <v>6</v>
      </c>
      <c r="D29" s="14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>
      <c r="A30" s="10">
        <v>43282</v>
      </c>
      <c r="B30" s="33">
        <v>102.137</v>
      </c>
      <c r="C30" s="9">
        <v>7</v>
      </c>
      <c r="D30" s="9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10">
        <v>43313</v>
      </c>
      <c r="B31" s="33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10">
        <v>43344</v>
      </c>
      <c r="B32" s="33">
        <v>102.41800000000001</v>
      </c>
      <c r="C32" s="9">
        <v>9</v>
      </c>
      <c r="D32" s="9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10">
        <v>43374</v>
      </c>
      <c r="B33" s="33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10">
        <v>43405</v>
      </c>
      <c r="B34" s="33">
        <v>102.63</v>
      </c>
      <c r="C34" s="9">
        <v>11</v>
      </c>
      <c r="D34" s="9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10">
        <v>43435</v>
      </c>
      <c r="B35" s="33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16">
        <v>43466</v>
      </c>
      <c r="B36" s="33">
        <v>102.648</v>
      </c>
      <c r="C36" s="14">
        <v>13</v>
      </c>
      <c r="D36" s="14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>
      <c r="A37" s="10">
        <v>43497</v>
      </c>
      <c r="B37" s="33">
        <v>102.836</v>
      </c>
      <c r="C37" s="9">
        <v>14</v>
      </c>
      <c r="D37" s="9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>
      <c r="A38" s="10">
        <v>43525</v>
      </c>
      <c r="B38" s="33">
        <v>103.069</v>
      </c>
      <c r="C38" s="9">
        <v>15</v>
      </c>
      <c r="D38" s="9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>
      <c r="A39" s="10">
        <v>43556</v>
      </c>
      <c r="B39" s="33">
        <v>103.36</v>
      </c>
      <c r="C39" s="9">
        <v>16</v>
      </c>
      <c r="D39" s="9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>
      <c r="A40" s="10">
        <v>43586</v>
      </c>
      <c r="B40" s="33">
        <v>103.435</v>
      </c>
      <c r="C40" s="9">
        <v>17</v>
      </c>
      <c r="D40" s="9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>
      <c r="A41" s="16">
        <v>43617</v>
      </c>
      <c r="B41" s="33">
        <v>103.48399999999999</v>
      </c>
      <c r="C41" s="14">
        <v>18</v>
      </c>
      <c r="D41" s="14">
        <f t="shared" si="0"/>
        <v>1.4260651383430185</v>
      </c>
      <c r="E41">
        <v>18</v>
      </c>
      <c r="F41">
        <v>18</v>
      </c>
      <c r="G41">
        <v>1.426065138</v>
      </c>
      <c r="H41">
        <v>1.4655818102</v>
      </c>
      <c r="I41" t="s">
        <v>26</v>
      </c>
    </row>
    <row r="42" spans="1:9">
      <c r="A42" s="10">
        <v>43647</v>
      </c>
      <c r="B42" s="33">
        <v>103.622</v>
      </c>
      <c r="C42" s="9">
        <v>19</v>
      </c>
      <c r="D42" s="9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>
      <c r="A43" s="10">
        <v>43678</v>
      </c>
      <c r="B43" s="33">
        <v>103.67</v>
      </c>
      <c r="C43" s="9">
        <v>20</v>
      </c>
      <c r="D43" s="9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>
      <c r="A44" s="10">
        <v>43709</v>
      </c>
      <c r="B44" s="33">
        <v>103.733</v>
      </c>
      <c r="C44" s="9">
        <v>21</v>
      </c>
      <c r="D44" s="9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>
      <c r="A45" s="10">
        <v>43739</v>
      </c>
      <c r="B45" s="33">
        <v>103.917</v>
      </c>
      <c r="C45" s="9">
        <v>22</v>
      </c>
      <c r="D45" s="9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>
      <c r="A46" s="16">
        <v>43770</v>
      </c>
      <c r="B46" s="33">
        <v>104.024</v>
      </c>
      <c r="C46" s="14">
        <v>23</v>
      </c>
      <c r="D46" s="14">
        <f t="shared" si="0"/>
        <v>1.3582773068303668</v>
      </c>
      <c r="E46">
        <v>23</v>
      </c>
      <c r="F46">
        <v>23</v>
      </c>
      <c r="G46">
        <v>1.358277307</v>
      </c>
      <c r="H46">
        <v>1.7312877777</v>
      </c>
      <c r="I46" t="s">
        <v>223</v>
      </c>
    </row>
    <row r="47" spans="1:9">
      <c r="A47" s="10">
        <v>43800</v>
      </c>
      <c r="B47" s="33">
        <v>104.307</v>
      </c>
      <c r="C47" s="9">
        <v>24</v>
      </c>
      <c r="D47" s="9">
        <f t="shared" si="0"/>
        <v>1.5637627676458932</v>
      </c>
      <c r="E47">
        <v>24</v>
      </c>
      <c r="F47">
        <v>24</v>
      </c>
      <c r="G47">
        <v>1.5637627679999999</v>
      </c>
      <c r="H47">
        <v>1.5609958544</v>
      </c>
      <c r="I47" t="s">
        <v>224</v>
      </c>
    </row>
    <row r="48" spans="1:9">
      <c r="A48" s="10">
        <v>43831</v>
      </c>
      <c r="B48" s="33">
        <v>104.419</v>
      </c>
      <c r="C48" s="9">
        <v>25</v>
      </c>
      <c r="D48" s="9">
        <f t="shared" si="0"/>
        <v>1.7253136933988007</v>
      </c>
      <c r="E48">
        <v>25</v>
      </c>
      <c r="F48">
        <v>25</v>
      </c>
      <c r="G48">
        <v>1.7253136929999999</v>
      </c>
      <c r="H48">
        <v>1.3907039311</v>
      </c>
      <c r="I48" t="s">
        <v>225</v>
      </c>
    </row>
    <row r="49" spans="1:9">
      <c r="A49" s="10">
        <v>43862</v>
      </c>
      <c r="B49" s="33">
        <v>104.541</v>
      </c>
      <c r="C49" s="9">
        <v>26</v>
      </c>
      <c r="D49" s="9">
        <f t="shared" si="0"/>
        <v>1.6579796958263626</v>
      </c>
      <c r="E49">
        <v>26</v>
      </c>
      <c r="F49">
        <v>26</v>
      </c>
      <c r="G49">
        <v>1.6579796959999999</v>
      </c>
      <c r="H49">
        <v>1.2204120079</v>
      </c>
      <c r="I49" t="s">
        <v>226</v>
      </c>
    </row>
    <row r="50" spans="1:9">
      <c r="A50" s="10">
        <v>43891</v>
      </c>
      <c r="B50" s="33">
        <v>104.252</v>
      </c>
      <c r="C50" s="9">
        <v>27</v>
      </c>
      <c r="D50" s="9">
        <f t="shared" si="0"/>
        <v>1.1477747916444252</v>
      </c>
      <c r="E50">
        <v>27</v>
      </c>
      <c r="F50">
        <v>27</v>
      </c>
      <c r="G50">
        <v>1.1477747920000001</v>
      </c>
      <c r="H50">
        <v>1.0501200846000001</v>
      </c>
      <c r="I50" t="s">
        <v>227</v>
      </c>
    </row>
    <row r="51" spans="1:9">
      <c r="A51" s="10">
        <v>43922</v>
      </c>
      <c r="B51" s="33">
        <v>103.81699999999999</v>
      </c>
      <c r="C51" s="9">
        <v>28</v>
      </c>
      <c r="D51" s="9">
        <f t="shared" si="0"/>
        <v>0.44214396284829105</v>
      </c>
      <c r="E51">
        <v>28</v>
      </c>
      <c r="F51">
        <v>28</v>
      </c>
      <c r="G51">
        <v>0.44214396299999997</v>
      </c>
      <c r="H51">
        <v>0.87982816139999998</v>
      </c>
      <c r="I51" t="s">
        <v>228</v>
      </c>
    </row>
    <row r="52" spans="1:9">
      <c r="A52" s="10">
        <v>43952</v>
      </c>
      <c r="B52" s="33">
        <v>103.914</v>
      </c>
      <c r="C52" s="9">
        <v>29</v>
      </c>
      <c r="D52" s="9">
        <f t="shared" si="0"/>
        <v>0.46309276357132423</v>
      </c>
      <c r="E52">
        <v>29</v>
      </c>
      <c r="F52">
        <v>29</v>
      </c>
      <c r="G52">
        <v>0.46309276399999999</v>
      </c>
      <c r="H52">
        <v>0.70953623809999999</v>
      </c>
      <c r="I52" t="s">
        <v>229</v>
      </c>
    </row>
    <row r="53" spans="1:9">
      <c r="A53" s="10">
        <v>43983</v>
      </c>
      <c r="B53" s="33">
        <v>104.233</v>
      </c>
      <c r="C53" s="9">
        <v>30</v>
      </c>
      <c r="D53" s="9">
        <f t="shared" si="0"/>
        <v>0.7237833868037663</v>
      </c>
      <c r="E53">
        <v>30</v>
      </c>
      <c r="F53">
        <v>30</v>
      </c>
      <c r="G53">
        <v>0.723783387</v>
      </c>
      <c r="H53">
        <v>0.53924431480000001</v>
      </c>
      <c r="I53" t="s">
        <v>230</v>
      </c>
    </row>
    <row r="54" spans="1:9">
      <c r="A54" s="16">
        <v>44013</v>
      </c>
      <c r="B54" s="33">
        <v>104.56399999999999</v>
      </c>
      <c r="C54" s="14">
        <v>31</v>
      </c>
      <c r="D54" s="14">
        <f t="shared" si="0"/>
        <v>0.90907336279939888</v>
      </c>
      <c r="E54">
        <v>31</v>
      </c>
      <c r="F54">
        <v>31</v>
      </c>
      <c r="G54">
        <v>0.90907336299999997</v>
      </c>
      <c r="H54">
        <v>0.93293996089999998</v>
      </c>
      <c r="I54" t="s">
        <v>231</v>
      </c>
    </row>
    <row r="55" spans="1:9">
      <c r="A55" s="10">
        <v>44044</v>
      </c>
      <c r="B55" s="33">
        <v>104.887</v>
      </c>
      <c r="C55" s="9">
        <v>32</v>
      </c>
      <c r="D55" s="9">
        <f t="shared" si="0"/>
        <v>1.1739172373878641</v>
      </c>
      <c r="E55">
        <v>32</v>
      </c>
      <c r="F55">
        <v>32</v>
      </c>
      <c r="G55">
        <v>1.1739172369999999</v>
      </c>
      <c r="H55">
        <v>1.0382822183</v>
      </c>
      <c r="I55" t="s">
        <v>232</v>
      </c>
    </row>
    <row r="56" spans="1:9">
      <c r="A56" s="10">
        <v>44075</v>
      </c>
      <c r="B56" s="33">
        <v>105.04600000000001</v>
      </c>
      <c r="C56" s="9">
        <v>33</v>
      </c>
      <c r="D56" s="9">
        <f t="shared" si="0"/>
        <v>1.2657495686040146</v>
      </c>
      <c r="E56">
        <v>33</v>
      </c>
      <c r="F56">
        <v>33</v>
      </c>
      <c r="G56">
        <v>1.265749569</v>
      </c>
      <c r="H56">
        <v>1.1436244756</v>
      </c>
      <c r="I56" t="s">
        <v>233</v>
      </c>
    </row>
    <row r="57" spans="1:9">
      <c r="A57" s="10">
        <v>44105</v>
      </c>
      <c r="B57" s="33">
        <v>105.10599999999999</v>
      </c>
      <c r="C57" s="9">
        <v>34</v>
      </c>
      <c r="D57" s="9">
        <f t="shared" si="0"/>
        <v>1.144182376319556</v>
      </c>
      <c r="E57">
        <v>34</v>
      </c>
      <c r="F57">
        <v>34</v>
      </c>
      <c r="G57">
        <v>1.1441823760000001</v>
      </c>
      <c r="H57">
        <v>1.2489667330000001</v>
      </c>
      <c r="I57" t="s">
        <v>234</v>
      </c>
    </row>
    <row r="58" spans="1:9">
      <c r="A58" s="10">
        <v>44136</v>
      </c>
      <c r="B58" s="33">
        <v>105.22499999999999</v>
      </c>
      <c r="C58" s="9">
        <v>35</v>
      </c>
      <c r="D58" s="9">
        <f t="shared" si="0"/>
        <v>1.1545412597092914</v>
      </c>
      <c r="E58">
        <v>35</v>
      </c>
      <c r="F58">
        <v>35</v>
      </c>
      <c r="G58">
        <v>1.15454126</v>
      </c>
      <c r="H58">
        <v>1.3543089903000001</v>
      </c>
      <c r="I58" t="s">
        <v>109</v>
      </c>
    </row>
    <row r="59" spans="1:9">
      <c r="A59" s="10">
        <v>44166</v>
      </c>
      <c r="B59" s="33">
        <v>105.69</v>
      </c>
      <c r="C59" s="9">
        <v>36</v>
      </c>
      <c r="D59" s="9">
        <f t="shared" si="0"/>
        <v>1.3258937559320041</v>
      </c>
      <c r="E59">
        <v>36</v>
      </c>
      <c r="F59">
        <v>36</v>
      </c>
      <c r="G59">
        <v>1.3258937559999999</v>
      </c>
      <c r="H59">
        <v>1.4596512476000001</v>
      </c>
      <c r="I59" t="s">
        <v>235</v>
      </c>
    </row>
    <row r="60" spans="1:9">
      <c r="A60" s="10">
        <v>44197</v>
      </c>
      <c r="B60" s="33">
        <v>106.083</v>
      </c>
      <c r="C60" s="9">
        <v>37</v>
      </c>
      <c r="D60" s="9">
        <f t="shared" si="0"/>
        <v>1.5935797125044306</v>
      </c>
      <c r="E60">
        <v>37</v>
      </c>
      <c r="F60">
        <v>37</v>
      </c>
      <c r="G60">
        <v>1.593579713</v>
      </c>
      <c r="H60">
        <v>1.5649935049999999</v>
      </c>
      <c r="I60" t="s">
        <v>236</v>
      </c>
    </row>
    <row r="61" spans="1:9">
      <c r="A61" s="10">
        <v>44228</v>
      </c>
      <c r="B61" s="33">
        <v>106.471</v>
      </c>
      <c r="C61" s="9">
        <v>38</v>
      </c>
      <c r="D61" s="9">
        <f t="shared" si="0"/>
        <v>1.846165619230739</v>
      </c>
      <c r="E61">
        <v>38</v>
      </c>
      <c r="F61">
        <v>38</v>
      </c>
      <c r="G61">
        <v>1.846165619</v>
      </c>
      <c r="H61">
        <v>1.6703357622999999</v>
      </c>
      <c r="I61" t="s">
        <v>237</v>
      </c>
    </row>
    <row r="62" spans="1:9">
      <c r="A62" s="16">
        <v>44256</v>
      </c>
      <c r="B62" s="33">
        <v>107.032</v>
      </c>
      <c r="C62" s="14">
        <v>39</v>
      </c>
      <c r="D62" s="14">
        <f t="shared" si="0"/>
        <v>2.6666155085753762</v>
      </c>
      <c r="E62">
        <v>39</v>
      </c>
      <c r="F62">
        <v>39</v>
      </c>
      <c r="G62">
        <v>2.6666155090000001</v>
      </c>
      <c r="H62">
        <v>2.9906219456000001</v>
      </c>
      <c r="I62" t="s">
        <v>238</v>
      </c>
    </row>
    <row r="63" spans="1:9">
      <c r="A63" s="10">
        <v>44287</v>
      </c>
      <c r="B63" s="33">
        <v>107.63200000000001</v>
      </c>
      <c r="C63" s="9">
        <v>40</v>
      </c>
      <c r="D63" s="9">
        <f t="shared" si="0"/>
        <v>3.6747353516283576</v>
      </c>
      <c r="E63">
        <v>40</v>
      </c>
      <c r="F63">
        <v>40</v>
      </c>
      <c r="G63">
        <v>3.6747353519999999</v>
      </c>
      <c r="H63">
        <v>3.4240644095000001</v>
      </c>
      <c r="I63" t="s">
        <v>110</v>
      </c>
    </row>
    <row r="64" spans="1:9">
      <c r="A64" s="10">
        <v>44317</v>
      </c>
      <c r="B64" s="33">
        <v>108.184</v>
      </c>
      <c r="C64" s="9">
        <v>41</v>
      </c>
      <c r="D64" s="9">
        <f t="shared" si="0"/>
        <v>4.1091671959504934</v>
      </c>
      <c r="E64">
        <v>41</v>
      </c>
      <c r="F64">
        <v>41</v>
      </c>
      <c r="G64">
        <v>4.1091671959999996</v>
      </c>
      <c r="H64">
        <v>3.8575068734000002</v>
      </c>
      <c r="I64" t="s">
        <v>239</v>
      </c>
    </row>
    <row r="65" spans="1:9">
      <c r="A65" s="10">
        <v>44348</v>
      </c>
      <c r="B65" s="33">
        <v>108.748</v>
      </c>
      <c r="C65" s="9">
        <v>42</v>
      </c>
      <c r="D65" s="9">
        <f t="shared" si="0"/>
        <v>4.3316416106223556</v>
      </c>
      <c r="E65">
        <v>42</v>
      </c>
      <c r="F65">
        <v>42</v>
      </c>
      <c r="G65">
        <v>4.3316416110000002</v>
      </c>
      <c r="H65">
        <v>4.2909493372999998</v>
      </c>
      <c r="I65" t="s">
        <v>240</v>
      </c>
    </row>
    <row r="66" spans="1:9">
      <c r="A66" s="10">
        <v>44378</v>
      </c>
      <c r="B66" s="33">
        <v>109.27500000000001</v>
      </c>
      <c r="C66" s="9">
        <v>43</v>
      </c>
      <c r="D66" s="9">
        <f t="shared" si="0"/>
        <v>4.5053746987491037</v>
      </c>
      <c r="E66">
        <v>43</v>
      </c>
      <c r="F66">
        <v>43</v>
      </c>
      <c r="G66">
        <v>4.5053746989999999</v>
      </c>
      <c r="H66">
        <v>4.7243918012000004</v>
      </c>
      <c r="I66" t="s">
        <v>241</v>
      </c>
    </row>
    <row r="67" spans="1:9">
      <c r="A67" s="16">
        <v>44409</v>
      </c>
      <c r="B67" s="33">
        <v>109.72</v>
      </c>
      <c r="C67" s="14">
        <v>44</v>
      </c>
      <c r="D67" s="14">
        <f t="shared" si="0"/>
        <v>4.6078160305852949</v>
      </c>
      <c r="E67">
        <v>44</v>
      </c>
      <c r="F67">
        <v>44</v>
      </c>
      <c r="G67">
        <v>4.6078160309999996</v>
      </c>
      <c r="H67">
        <v>4.5053705653999998</v>
      </c>
      <c r="I67" t="s">
        <v>242</v>
      </c>
    </row>
    <row r="68" spans="1:9">
      <c r="A68" s="10">
        <v>44440</v>
      </c>
      <c r="B68" s="33">
        <v>110.047</v>
      </c>
      <c r="C68" s="9">
        <v>45</v>
      </c>
      <c r="D68" s="9">
        <f t="shared" si="0"/>
        <v>4.7607714715457901</v>
      </c>
      <c r="E68">
        <v>45</v>
      </c>
      <c r="F68">
        <v>45</v>
      </c>
      <c r="G68">
        <v>4.7607714720000001</v>
      </c>
      <c r="H68">
        <v>4.9409002427999997</v>
      </c>
      <c r="I68" t="s">
        <v>243</v>
      </c>
    </row>
    <row r="69" spans="1:9">
      <c r="A69" s="10">
        <v>44470</v>
      </c>
      <c r="B69" s="33">
        <v>110.741</v>
      </c>
      <c r="C69" s="9">
        <v>46</v>
      </c>
      <c r="D69" s="9">
        <f t="shared" si="0"/>
        <v>5.3612543527486585</v>
      </c>
      <c r="E69">
        <v>46</v>
      </c>
      <c r="F69">
        <v>46</v>
      </c>
      <c r="G69">
        <v>5.3612543529999996</v>
      </c>
      <c r="H69">
        <v>5.3764299201999997</v>
      </c>
      <c r="I69" t="s">
        <v>244</v>
      </c>
    </row>
    <row r="70" spans="1:9">
      <c r="A70" s="10">
        <v>44501</v>
      </c>
      <c r="B70" s="33">
        <v>111.51</v>
      </c>
      <c r="C70" s="9">
        <v>47</v>
      </c>
      <c r="D70" s="9">
        <f t="shared" si="0"/>
        <v>5.9729151817533968</v>
      </c>
      <c r="E70">
        <v>47</v>
      </c>
      <c r="F70">
        <v>47</v>
      </c>
      <c r="G70">
        <v>5.9729151820000004</v>
      </c>
      <c r="H70">
        <v>5.8119595975999996</v>
      </c>
      <c r="I70" t="s">
        <v>245</v>
      </c>
    </row>
    <row r="71" spans="1:9">
      <c r="A71" s="10">
        <v>44531</v>
      </c>
      <c r="B71" s="33">
        <v>112.221</v>
      </c>
      <c r="C71" s="9">
        <v>48</v>
      </c>
      <c r="D71" s="9">
        <f t="shared" si="0"/>
        <v>6.1793925631564068</v>
      </c>
      <c r="E71">
        <v>48</v>
      </c>
      <c r="F71">
        <v>48</v>
      </c>
      <c r="G71">
        <v>6.1793925630000004</v>
      </c>
      <c r="H71">
        <v>6.2474892750000004</v>
      </c>
      <c r="I71" t="s">
        <v>246</v>
      </c>
    </row>
    <row r="72" spans="1:9">
      <c r="A72" s="16">
        <v>44562</v>
      </c>
      <c r="B72" s="33">
        <v>112.776</v>
      </c>
      <c r="C72" s="14">
        <v>49</v>
      </c>
      <c r="D72" s="14">
        <f t="shared" si="0"/>
        <v>6.3092107123667294</v>
      </c>
      <c r="E72">
        <v>49</v>
      </c>
      <c r="F72">
        <v>49</v>
      </c>
      <c r="G72">
        <v>6.3092107119999996</v>
      </c>
      <c r="H72">
        <v>6.4083166605999997</v>
      </c>
      <c r="I72" t="s">
        <v>247</v>
      </c>
    </row>
    <row r="73" spans="1:9">
      <c r="A73" s="10">
        <v>44593</v>
      </c>
      <c r="B73" s="33">
        <v>113.489</v>
      </c>
      <c r="C73" s="9">
        <v>50</v>
      </c>
      <c r="D73" s="9">
        <f t="shared" si="0"/>
        <v>6.5914662208488703</v>
      </c>
      <c r="E73">
        <v>50</v>
      </c>
      <c r="F73">
        <v>50</v>
      </c>
      <c r="G73">
        <v>6.5914662210000001</v>
      </c>
      <c r="H73">
        <v>6.5529590067000001</v>
      </c>
      <c r="I73" t="s">
        <v>248</v>
      </c>
    </row>
    <row r="74" spans="1:9">
      <c r="A74" s="10">
        <v>44621</v>
      </c>
      <c r="B74" s="33">
        <v>114.489</v>
      </c>
      <c r="C74" s="9">
        <v>51</v>
      </c>
      <c r="D74" s="9">
        <f t="shared" si="0"/>
        <v>6.9670752672098137</v>
      </c>
      <c r="E74">
        <v>51</v>
      </c>
      <c r="F74">
        <v>51</v>
      </c>
      <c r="G74">
        <v>6.9670752670000002</v>
      </c>
      <c r="H74">
        <v>6.6976013527999996</v>
      </c>
      <c r="I74" t="s">
        <v>249</v>
      </c>
    </row>
    <row r="75" spans="1:9">
      <c r="A75" s="10">
        <v>44652</v>
      </c>
      <c r="B75" s="33">
        <v>114.845</v>
      </c>
      <c r="C75" s="9">
        <v>52</v>
      </c>
      <c r="D75" s="9">
        <f t="shared" si="0"/>
        <v>6.7015385758882058</v>
      </c>
      <c r="E75">
        <v>52</v>
      </c>
      <c r="F75">
        <v>52</v>
      </c>
      <c r="G75">
        <v>6.7015385759999999</v>
      </c>
      <c r="H75">
        <v>6.8422436988999999</v>
      </c>
      <c r="I75" t="s">
        <v>250</v>
      </c>
    </row>
    <row r="76" spans="1:9">
      <c r="A76" s="10">
        <v>44682</v>
      </c>
      <c r="B76" s="33">
        <v>115.542</v>
      </c>
      <c r="C76" s="9">
        <v>53</v>
      </c>
      <c r="D76" s="9">
        <f t="shared" si="0"/>
        <v>6.8013754344450232</v>
      </c>
      <c r="E76">
        <v>53</v>
      </c>
      <c r="F76">
        <v>53</v>
      </c>
      <c r="G76">
        <v>6.8013754339999997</v>
      </c>
      <c r="H76">
        <v>6.9868860450000003</v>
      </c>
      <c r="I76" t="s">
        <v>251</v>
      </c>
    </row>
    <row r="77" spans="1:9">
      <c r="A77" s="10">
        <v>44713</v>
      </c>
      <c r="B77" s="33">
        <v>116.631</v>
      </c>
      <c r="C77" s="9">
        <v>54</v>
      </c>
      <c r="D77" s="9">
        <f t="shared" si="0"/>
        <v>7.2488689447162198</v>
      </c>
      <c r="E77">
        <v>54</v>
      </c>
      <c r="F77">
        <v>54</v>
      </c>
      <c r="G77">
        <v>7.2488689449999999</v>
      </c>
      <c r="H77">
        <v>7.1315283909999998</v>
      </c>
      <c r="I77" t="s">
        <v>252</v>
      </c>
    </row>
    <row r="78" spans="1:9">
      <c r="A78" s="16">
        <v>44743</v>
      </c>
      <c r="B78" s="33">
        <v>116.66200000000001</v>
      </c>
      <c r="C78" s="14">
        <v>55</v>
      </c>
      <c r="D78" s="14">
        <f t="shared" si="0"/>
        <v>6.7600091512239766</v>
      </c>
      <c r="E78">
        <v>55</v>
      </c>
      <c r="F78">
        <v>55</v>
      </c>
      <c r="G78">
        <v>6.7600091510000002</v>
      </c>
      <c r="H78">
        <v>6.9431297947999999</v>
      </c>
      <c r="I78" t="s">
        <v>253</v>
      </c>
    </row>
    <row r="79" spans="1:9">
      <c r="A79" s="10">
        <v>44774</v>
      </c>
      <c r="B79" s="33">
        <v>117.002</v>
      </c>
      <c r="C79" s="9">
        <v>56</v>
      </c>
      <c r="D79" s="9">
        <f t="shared" si="0"/>
        <v>6.6368939117754246</v>
      </c>
      <c r="E79">
        <v>56</v>
      </c>
      <c r="F79">
        <v>56</v>
      </c>
      <c r="G79">
        <v>6.6368939119999997</v>
      </c>
      <c r="H79">
        <v>6.7013675118</v>
      </c>
      <c r="I79" t="s">
        <v>254</v>
      </c>
    </row>
    <row r="80" spans="1:9">
      <c r="A80" s="10">
        <v>44805</v>
      </c>
      <c r="B80" s="33">
        <v>117.377</v>
      </c>
      <c r="C80" s="9">
        <v>57</v>
      </c>
      <c r="D80" s="9">
        <f t="shared" si="0"/>
        <v>6.6607903895608223</v>
      </c>
      <c r="E80">
        <v>57</v>
      </c>
      <c r="F80">
        <v>57</v>
      </c>
      <c r="G80">
        <v>6.6607903899999998</v>
      </c>
      <c r="H80">
        <v>6.4596052288000001</v>
      </c>
      <c r="I80" t="s">
        <v>255</v>
      </c>
    </row>
    <row r="81" spans="1:9">
      <c r="A81" s="10">
        <v>44835</v>
      </c>
      <c r="B81" s="33">
        <v>117.89100000000001</v>
      </c>
      <c r="C81" s="9">
        <v>58</v>
      </c>
      <c r="D81" s="9">
        <f t="shared" si="0"/>
        <v>6.4565066235630937</v>
      </c>
      <c r="E81">
        <v>58</v>
      </c>
      <c r="F81">
        <v>58</v>
      </c>
      <c r="G81">
        <v>6.4565066240000002</v>
      </c>
      <c r="H81">
        <v>6.2178429458000002</v>
      </c>
      <c r="I81" t="s">
        <v>256</v>
      </c>
    </row>
    <row r="82" spans="1:9">
      <c r="A82" s="10">
        <v>44866</v>
      </c>
      <c r="B82" s="33">
        <v>118.221</v>
      </c>
      <c r="C82" s="9">
        <v>59</v>
      </c>
      <c r="D82" s="9">
        <f t="shared" si="0"/>
        <v>6.0182943233790684</v>
      </c>
      <c r="E82">
        <v>59</v>
      </c>
      <c r="F82">
        <v>59</v>
      </c>
      <c r="G82">
        <v>6.0182943230000001</v>
      </c>
      <c r="H82">
        <v>5.9760806627000003</v>
      </c>
      <c r="I82" t="s">
        <v>257</v>
      </c>
    </row>
    <row r="83" spans="1:9">
      <c r="A83" s="10">
        <v>44896</v>
      </c>
      <c r="B83" s="33">
        <v>118.40300000000001</v>
      </c>
      <c r="C83" s="9">
        <v>60</v>
      </c>
      <c r="D83" s="9">
        <f t="shared" si="0"/>
        <v>5.508772867823315</v>
      </c>
      <c r="E83">
        <v>60</v>
      </c>
      <c r="F83">
        <v>60</v>
      </c>
      <c r="G83">
        <v>5.5087728680000003</v>
      </c>
      <c r="H83">
        <v>5.7343183797000004</v>
      </c>
      <c r="I83" t="s">
        <v>258</v>
      </c>
    </row>
    <row r="84" spans="1:9">
      <c r="A84" s="10">
        <v>44927</v>
      </c>
      <c r="B84" s="33">
        <v>119.00700000000001</v>
      </c>
      <c r="C84" s="9">
        <v>61</v>
      </c>
      <c r="D84" s="9">
        <f t="shared" si="0"/>
        <v>5.5251117258991354</v>
      </c>
      <c r="E84">
        <v>61</v>
      </c>
      <c r="F84">
        <v>61</v>
      </c>
      <c r="G84">
        <v>5.5251117259999996</v>
      </c>
      <c r="H84">
        <v>5.4925560966999996</v>
      </c>
      <c r="I84" t="s">
        <v>259</v>
      </c>
    </row>
    <row r="85" spans="1:9">
      <c r="A85" s="10">
        <v>44958</v>
      </c>
      <c r="B85" s="33">
        <v>119.401</v>
      </c>
      <c r="C85" s="9">
        <v>62</v>
      </c>
      <c r="D85" s="9">
        <f t="shared" si="0"/>
        <v>5.2093154402629249</v>
      </c>
      <c r="E85">
        <v>62</v>
      </c>
      <c r="F85">
        <v>62</v>
      </c>
      <c r="G85">
        <v>5.2093154400000001</v>
      </c>
      <c r="H85">
        <v>5.2507938136999996</v>
      </c>
      <c r="I85" t="s">
        <v>260</v>
      </c>
    </row>
    <row r="86" spans="1:9">
      <c r="A86" s="16">
        <v>44986</v>
      </c>
      <c r="B86" s="33">
        <v>119.553</v>
      </c>
      <c r="C86" s="14">
        <v>63</v>
      </c>
      <c r="D86" s="14">
        <f t="shared" si="0"/>
        <v>4.4231323533265146</v>
      </c>
      <c r="E86">
        <v>63</v>
      </c>
      <c r="F86">
        <v>63</v>
      </c>
      <c r="G86">
        <v>4.4231323529999997</v>
      </c>
      <c r="H86">
        <v>4.5600252061999997</v>
      </c>
      <c r="I86" t="s">
        <v>261</v>
      </c>
    </row>
    <row r="87" spans="1:9">
      <c r="A87" s="10">
        <v>45017</v>
      </c>
      <c r="B87" s="33">
        <v>119.97</v>
      </c>
      <c r="C87" s="9">
        <v>64</v>
      </c>
      <c r="D87" s="9">
        <f t="shared" si="0"/>
        <v>4.4625364621881669</v>
      </c>
      <c r="E87">
        <v>64</v>
      </c>
      <c r="F87">
        <v>64</v>
      </c>
      <c r="G87">
        <v>4.4625364620000001</v>
      </c>
      <c r="H87">
        <v>4.2300717911000003</v>
      </c>
      <c r="I87" t="s">
        <v>262</v>
      </c>
    </row>
    <row r="88" spans="1:9">
      <c r="A88" s="10">
        <v>45047</v>
      </c>
      <c r="B88" s="33">
        <v>120.14</v>
      </c>
      <c r="C88" s="9">
        <v>65</v>
      </c>
      <c r="D88" s="9">
        <f t="shared" si="0"/>
        <v>3.9795052881203361</v>
      </c>
      <c r="E88">
        <v>65</v>
      </c>
      <c r="F88">
        <v>65</v>
      </c>
      <c r="G88">
        <v>3.9795052879999999</v>
      </c>
      <c r="H88">
        <v>3.900118376</v>
      </c>
      <c r="I88" t="s">
        <v>263</v>
      </c>
    </row>
    <row r="89" spans="1:9">
      <c r="A89" s="10">
        <v>45078</v>
      </c>
      <c r="B89" s="33">
        <v>120.435</v>
      </c>
      <c r="C89" s="9">
        <v>66</v>
      </c>
      <c r="D89" s="9">
        <f t="shared" si="0"/>
        <v>3.2615685366669256</v>
      </c>
      <c r="E89">
        <v>66</v>
      </c>
      <c r="F89">
        <v>66</v>
      </c>
      <c r="G89">
        <v>3.261568537</v>
      </c>
      <c r="H89">
        <v>3.5701649609000001</v>
      </c>
      <c r="I89" t="s">
        <v>264</v>
      </c>
    </row>
    <row r="90" spans="1:9">
      <c r="A90" s="10">
        <v>45108</v>
      </c>
      <c r="B90" s="33">
        <v>120.598</v>
      </c>
      <c r="C90" s="9">
        <v>67</v>
      </c>
      <c r="D90" s="9">
        <f t="shared" ref="D90:D100" si="1">100*(B90-B78)/B78</f>
        <v>3.3738492396838669</v>
      </c>
      <c r="E90">
        <v>67</v>
      </c>
      <c r="F90">
        <v>67</v>
      </c>
      <c r="G90">
        <v>3.3738492400000002</v>
      </c>
      <c r="H90">
        <v>3.2402115457999998</v>
      </c>
      <c r="I90" t="s">
        <v>265</v>
      </c>
    </row>
    <row r="91" spans="1:9">
      <c r="A91" s="16">
        <v>45139</v>
      </c>
      <c r="B91" s="33">
        <v>120.965</v>
      </c>
      <c r="C91" s="14">
        <v>68</v>
      </c>
      <c r="D91" s="14">
        <f t="shared" si="1"/>
        <v>3.3871215876651752</v>
      </c>
      <c r="E91">
        <v>68</v>
      </c>
      <c r="F91">
        <v>68</v>
      </c>
      <c r="G91">
        <v>3.3871215879999998</v>
      </c>
      <c r="H91">
        <v>3.4573101756</v>
      </c>
      <c r="I91" t="s">
        <v>266</v>
      </c>
    </row>
    <row r="92" spans="1:9">
      <c r="A92" s="10">
        <v>45170</v>
      </c>
      <c r="B92" s="33">
        <v>121.387</v>
      </c>
      <c r="C92" s="9">
        <v>69</v>
      </c>
      <c r="D92" s="9">
        <f t="shared" si="1"/>
        <v>3.4163422135512111</v>
      </c>
      <c r="E92">
        <v>69</v>
      </c>
      <c r="F92">
        <v>69</v>
      </c>
      <c r="G92">
        <v>3.4163422140000002</v>
      </c>
      <c r="H92">
        <v>3.2487815328999998</v>
      </c>
      <c r="I92" t="s">
        <v>279</v>
      </c>
    </row>
    <row r="93" spans="1:9">
      <c r="A93" s="10">
        <v>45200</v>
      </c>
      <c r="B93" s="33">
        <v>121.42100000000001</v>
      </c>
      <c r="C93" s="9">
        <v>70</v>
      </c>
      <c r="D93" s="9">
        <f t="shared" si="1"/>
        <v>2.9942913369129118</v>
      </c>
      <c r="E93">
        <v>70</v>
      </c>
      <c r="F93">
        <v>70</v>
      </c>
      <c r="G93">
        <v>2.9942913369999999</v>
      </c>
      <c r="H93">
        <v>3.0402528902000001</v>
      </c>
      <c r="I93" t="s">
        <v>280</v>
      </c>
    </row>
    <row r="94" spans="1:9">
      <c r="A94" s="10">
        <v>45231</v>
      </c>
      <c r="B94" s="33">
        <v>121.41500000000001</v>
      </c>
      <c r="C94" s="9">
        <v>71</v>
      </c>
      <c r="D94" s="9">
        <f t="shared" si="1"/>
        <v>2.7017196606355913</v>
      </c>
      <c r="E94">
        <v>71</v>
      </c>
      <c r="F94">
        <v>71</v>
      </c>
      <c r="G94">
        <v>2.7017196609999998</v>
      </c>
      <c r="H94">
        <v>2.8317242475</v>
      </c>
      <c r="I94" t="s">
        <v>281</v>
      </c>
    </row>
    <row r="95" spans="1:9">
      <c r="A95" s="10">
        <v>45261</v>
      </c>
      <c r="B95" s="33">
        <v>121.602</v>
      </c>
      <c r="C95" s="9">
        <v>72</v>
      </c>
      <c r="D95" s="9">
        <f t="shared" si="1"/>
        <v>2.7017896506000674</v>
      </c>
      <c r="E95">
        <v>72</v>
      </c>
      <c r="F95">
        <v>72</v>
      </c>
      <c r="G95">
        <v>2.7017896509999999</v>
      </c>
      <c r="H95">
        <v>2.6231956047999998</v>
      </c>
      <c r="I95" t="s">
        <v>282</v>
      </c>
    </row>
    <row r="96" spans="1:9">
      <c r="A96" s="16">
        <v>45292</v>
      </c>
      <c r="B96" s="33">
        <v>122.11499999999999</v>
      </c>
      <c r="C96" s="14">
        <v>73</v>
      </c>
      <c r="D96" s="14">
        <f t="shared" si="1"/>
        <v>2.6116110817010676</v>
      </c>
      <c r="E96">
        <v>73</v>
      </c>
      <c r="F96">
        <v>73</v>
      </c>
      <c r="G96">
        <v>2.611611082</v>
      </c>
      <c r="H96">
        <v>2.7541348480000001</v>
      </c>
      <c r="I96" t="s">
        <v>283</v>
      </c>
    </row>
    <row r="97" spans="1:9">
      <c r="A97" s="10">
        <v>45323</v>
      </c>
      <c r="B97" s="33">
        <v>122.494</v>
      </c>
      <c r="C97" s="9">
        <v>74</v>
      </c>
      <c r="D97" s="9">
        <f t="shared" si="1"/>
        <v>2.5904305659081612</v>
      </c>
      <c r="E97">
        <v>74</v>
      </c>
      <c r="F97">
        <v>74</v>
      </c>
      <c r="G97">
        <v>2.5904305660000002</v>
      </c>
      <c r="H97">
        <v>2.6947372695</v>
      </c>
    </row>
    <row r="98" spans="1:9">
      <c r="A98" s="10">
        <v>45352</v>
      </c>
      <c r="B98" s="33">
        <v>122.91200000000001</v>
      </c>
      <c r="C98" s="9">
        <v>75</v>
      </c>
      <c r="D98" s="9">
        <f t="shared" si="1"/>
        <v>2.8096325479076301</v>
      </c>
      <c r="E98">
        <v>75</v>
      </c>
      <c r="F98">
        <v>75</v>
      </c>
      <c r="G98">
        <v>2.8096325480000002</v>
      </c>
      <c r="H98">
        <v>2.635339691</v>
      </c>
    </row>
    <row r="99" spans="1:9">
      <c r="A99" s="10">
        <v>45383</v>
      </c>
      <c r="B99" s="33">
        <v>123.23399999999999</v>
      </c>
      <c r="C99" s="9">
        <v>76</v>
      </c>
      <c r="D99" s="9">
        <f t="shared" si="1"/>
        <v>2.720680170042507</v>
      </c>
      <c r="E99">
        <v>76</v>
      </c>
      <c r="F99">
        <v>76</v>
      </c>
      <c r="G99">
        <v>2.7206801700000001</v>
      </c>
      <c r="H99">
        <v>2.5759421124999999</v>
      </c>
    </row>
    <row r="100" spans="1:9">
      <c r="A100" s="10">
        <v>45413</v>
      </c>
      <c r="B100" s="33">
        <v>123.224</v>
      </c>
      <c r="C100" s="9">
        <v>77</v>
      </c>
      <c r="D100" s="9">
        <f t="shared" si="1"/>
        <v>2.5670051606459157</v>
      </c>
      <c r="E100">
        <v>77</v>
      </c>
      <c r="F100">
        <v>77</v>
      </c>
      <c r="G100">
        <v>2.567005161</v>
      </c>
      <c r="H100">
        <v>2.5165445339999999</v>
      </c>
    </row>
    <row r="101" spans="1:9">
      <c r="A101" s="10">
        <v>45444</v>
      </c>
      <c r="B101" s="33">
        <v>123.369</v>
      </c>
      <c r="C101" s="9">
        <v>78</v>
      </c>
      <c r="D101" s="9">
        <f>100*(B101-B89)/B89</f>
        <v>2.4361688877817889</v>
      </c>
      <c r="E101">
        <v>78</v>
      </c>
      <c r="F101">
        <v>78</v>
      </c>
      <c r="G101">
        <v>2.4361688880000001</v>
      </c>
      <c r="H101">
        <v>2.4571469555999998</v>
      </c>
      <c r="I101" s="31"/>
    </row>
    <row r="102" spans="1:9">
      <c r="A102" s="10">
        <v>45474</v>
      </c>
      <c r="B102" s="33">
        <v>123.56399999999999</v>
      </c>
      <c r="C102" s="9">
        <v>79</v>
      </c>
      <c r="D102" s="9">
        <f t="shared" ref="D102" si="2">100*(B102-B90)/B90</f>
        <v>2.4594106038242707</v>
      </c>
      <c r="E102">
        <v>79</v>
      </c>
      <c r="F102">
        <v>79</v>
      </c>
      <c r="G102">
        <v>2.4594106039999999</v>
      </c>
      <c r="H102">
        <v>2.3977493770999998</v>
      </c>
      <c r="I102" s="31"/>
    </row>
    <row r="103" spans="1:9">
      <c r="A103" s="10">
        <v>45505</v>
      </c>
      <c r="B103" s="33">
        <v>123.708</v>
      </c>
      <c r="C103" s="9">
        <v>80</v>
      </c>
      <c r="D103" s="9">
        <f>100*(B103-B91)/B91</f>
        <v>2.2675980655561485</v>
      </c>
      <c r="E103">
        <v>80</v>
      </c>
      <c r="F103">
        <v>80</v>
      </c>
      <c r="G103">
        <v>2.2675980660000001</v>
      </c>
      <c r="H103">
        <v>2.3383517986000002</v>
      </c>
      <c r="I103" s="31"/>
    </row>
    <row r="104" spans="1:9">
      <c r="A104" s="10">
        <v>45536</v>
      </c>
      <c r="B104" s="33">
        <v>123.931</v>
      </c>
      <c r="C104" s="9">
        <v>81</v>
      </c>
      <c r="D104" s="9">
        <f t="shared" ref="D104" si="3">100*(B104-B92)/B92</f>
        <v>2.0957763187161698</v>
      </c>
      <c r="E104">
        <v>81</v>
      </c>
      <c r="F104">
        <v>81</v>
      </c>
      <c r="G104">
        <v>2.0957763190000001</v>
      </c>
      <c r="H104">
        <v>2.2789542201000001</v>
      </c>
      <c r="I104" s="31"/>
    </row>
    <row r="105" spans="1:9">
      <c r="A105" s="10">
        <v>45566</v>
      </c>
      <c r="B105" s="33">
        <v>124.226</v>
      </c>
      <c r="C105" s="9">
        <v>82</v>
      </c>
      <c r="D105" s="9">
        <f>100*(B105-B93)/B93</f>
        <v>2.3101440442756958</v>
      </c>
      <c r="E105">
        <v>82</v>
      </c>
      <c r="F105">
        <v>82</v>
      </c>
      <c r="G105">
        <v>2.3101440439999998</v>
      </c>
      <c r="H105">
        <v>2.2195566416000001</v>
      </c>
      <c r="I105" s="31"/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93F1-AD78-4F75-A69D-F51FF6174A8A}">
  <dimension ref="A1:I104"/>
  <sheetViews>
    <sheetView topLeftCell="A101" zoomScale="120" zoomScaleNormal="120" workbookViewId="0">
      <selection activeCell="C23" sqref="C23:H23"/>
    </sheetView>
  </sheetViews>
  <sheetFormatPr defaultColWidth="20.6640625" defaultRowHeight="13.2"/>
  <cols>
    <col min="1" max="1" width="20.6640625" style="28" customWidth="1"/>
    <col min="2" max="2" width="7.5546875" style="28" customWidth="1"/>
    <col min="3" max="3" width="3.5546875" style="28" bestFit="1" customWidth="1"/>
    <col min="4" max="4" width="12.77734375" style="28" bestFit="1" customWidth="1"/>
    <col min="5" max="6" width="3.5546875" style="28" bestFit="1" customWidth="1"/>
    <col min="7" max="8" width="12.77734375" style="28" bestFit="1" customWidth="1"/>
    <col min="9" max="9" width="20.6640625" style="28" customWidth="1"/>
    <col min="10" max="16384" width="20.6640625" style="28"/>
  </cols>
  <sheetData>
    <row r="1" spans="1:2">
      <c r="A1" s="28" t="s">
        <v>0</v>
      </c>
    </row>
    <row r="2" spans="1:2">
      <c r="A2" s="28" t="s">
        <v>1</v>
      </c>
    </row>
    <row r="3" spans="1:2">
      <c r="A3" s="28" t="s">
        <v>2</v>
      </c>
    </row>
    <row r="4" spans="1:2">
      <c r="A4" s="28" t="s">
        <v>3</v>
      </c>
    </row>
    <row r="5" spans="1:2">
      <c r="A5" s="28" t="s">
        <v>4</v>
      </c>
    </row>
    <row r="6" spans="1:2">
      <c r="A6" s="28" t="s">
        <v>5</v>
      </c>
    </row>
    <row r="8" spans="1:2">
      <c r="A8" s="28" t="s">
        <v>6</v>
      </c>
      <c r="B8" s="28" t="s">
        <v>7</v>
      </c>
    </row>
    <row r="10" spans="1:2">
      <c r="A10" s="28" t="s">
        <v>8</v>
      </c>
    </row>
    <row r="11" spans="1:2">
      <c r="A11" s="28" t="s">
        <v>9</v>
      </c>
      <c r="B11" s="28" t="s">
        <v>6</v>
      </c>
    </row>
    <row r="12" spans="1:2">
      <c r="A12" s="29">
        <v>42736</v>
      </c>
      <c r="B12" s="30">
        <v>99.450999999999993</v>
      </c>
    </row>
    <row r="13" spans="1:2">
      <c r="A13" s="29">
        <v>42767</v>
      </c>
      <c r="B13" s="30">
        <v>99.585999999999999</v>
      </c>
    </row>
    <row r="14" spans="1:2">
      <c r="A14" s="29">
        <v>42795</v>
      </c>
      <c r="B14" s="30">
        <v>99.534999999999997</v>
      </c>
    </row>
    <row r="15" spans="1:2">
      <c r="A15" s="29">
        <v>42826</v>
      </c>
      <c r="B15" s="30">
        <v>99.724999999999994</v>
      </c>
    </row>
    <row r="16" spans="1:2">
      <c r="A16" s="29">
        <v>42856</v>
      </c>
      <c r="B16" s="30">
        <v>99.682000000000002</v>
      </c>
    </row>
    <row r="17" spans="1:9">
      <c r="A17" s="29">
        <v>42887</v>
      </c>
      <c r="B17" s="30">
        <v>99.766000000000005</v>
      </c>
    </row>
    <row r="18" spans="1:9">
      <c r="A18" s="29">
        <v>42917</v>
      </c>
      <c r="B18" s="30">
        <v>99.802999999999997</v>
      </c>
    </row>
    <row r="19" spans="1:9">
      <c r="A19" s="29">
        <v>42948</v>
      </c>
      <c r="B19" s="30">
        <v>100.027</v>
      </c>
    </row>
    <row r="20" spans="1:9">
      <c r="A20" s="29">
        <v>42979</v>
      </c>
      <c r="B20" s="30">
        <v>100.4</v>
      </c>
    </row>
    <row r="21" spans="1:9">
      <c r="A21" s="29">
        <v>43009</v>
      </c>
      <c r="B21" s="30">
        <v>100.53100000000001</v>
      </c>
    </row>
    <row r="22" spans="1:9">
      <c r="A22" s="29">
        <v>43040</v>
      </c>
      <c r="B22" s="30">
        <v>100.675</v>
      </c>
    </row>
    <row r="23" spans="1:9" ht="13.8">
      <c r="A23" s="29">
        <v>43070</v>
      </c>
      <c r="B23" s="30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10">
        <v>43101</v>
      </c>
      <c r="B24" s="30">
        <v>101.199</v>
      </c>
      <c r="C24" s="9">
        <v>1</v>
      </c>
      <c r="D24" s="9">
        <f>100*(B24-B12)/B12</f>
        <v>1.7576494957315711</v>
      </c>
      <c r="E24" s="28">
        <v>1</v>
      </c>
      <c r="F24" s="28">
        <v>1</v>
      </c>
      <c r="G24" s="28">
        <v>1.757649496</v>
      </c>
      <c r="H24" s="28">
        <v>1.7360498802</v>
      </c>
      <c r="I24" s="28" t="s">
        <v>144</v>
      </c>
    </row>
    <row r="25" spans="1:9">
      <c r="A25" s="10">
        <v>43132</v>
      </c>
      <c r="B25" s="30">
        <v>101.416</v>
      </c>
      <c r="C25" s="9">
        <v>2</v>
      </c>
      <c r="D25" s="9">
        <f>100*(B25-B13)/B13</f>
        <v>1.8376076958608623</v>
      </c>
      <c r="E25" s="28">
        <v>2</v>
      </c>
      <c r="F25" s="28">
        <v>2</v>
      </c>
      <c r="G25" s="28">
        <v>1.8376076960000001</v>
      </c>
      <c r="H25" s="28">
        <v>1.8586633416</v>
      </c>
      <c r="I25" s="28" t="s">
        <v>272</v>
      </c>
    </row>
    <row r="26" spans="1:9">
      <c r="A26" s="10">
        <v>43160</v>
      </c>
      <c r="B26" s="30">
        <v>101.524</v>
      </c>
      <c r="C26" s="9">
        <v>3</v>
      </c>
      <c r="D26" s="9">
        <f t="shared" ref="D26:D89" si="0">100*(B26-B14)/B14</f>
        <v>1.9982920580700301</v>
      </c>
      <c r="E26" s="28">
        <v>3</v>
      </c>
      <c r="F26" s="28">
        <v>3</v>
      </c>
      <c r="G26" s="28">
        <v>1.9982920580000001</v>
      </c>
      <c r="H26" s="28">
        <v>1.9812768030000001</v>
      </c>
      <c r="I26" s="28" t="s">
        <v>12</v>
      </c>
    </row>
    <row r="27" spans="1:9">
      <c r="A27" s="10">
        <v>43191</v>
      </c>
      <c r="B27" s="30">
        <v>101.76600000000001</v>
      </c>
      <c r="C27" s="9">
        <v>4</v>
      </c>
      <c r="D27" s="9">
        <f t="shared" si="0"/>
        <v>2.0466282276259826</v>
      </c>
      <c r="E27" s="28">
        <v>4</v>
      </c>
      <c r="F27" s="28">
        <v>4</v>
      </c>
      <c r="G27" s="28">
        <v>2.0466282279999999</v>
      </c>
      <c r="H27" s="28">
        <v>2.1038902643999999</v>
      </c>
      <c r="I27" s="28" t="s">
        <v>13</v>
      </c>
    </row>
    <row r="28" spans="1:9">
      <c r="A28" s="10">
        <v>43221</v>
      </c>
      <c r="B28" s="30">
        <v>101.941</v>
      </c>
      <c r="C28" s="9">
        <v>5</v>
      </c>
      <c r="D28" s="9">
        <f t="shared" si="0"/>
        <v>2.2662065367869828</v>
      </c>
      <c r="E28" s="28">
        <v>5</v>
      </c>
      <c r="F28" s="28">
        <v>5</v>
      </c>
      <c r="G28" s="28">
        <v>2.266206537</v>
      </c>
      <c r="H28" s="28">
        <v>2.2265037258000002</v>
      </c>
      <c r="I28" s="28" t="s">
        <v>14</v>
      </c>
    </row>
    <row r="29" spans="1:9">
      <c r="A29" s="16">
        <v>43252</v>
      </c>
      <c r="B29" s="30">
        <v>102.029</v>
      </c>
      <c r="C29" s="14">
        <v>6</v>
      </c>
      <c r="D29" s="14">
        <f t="shared" si="0"/>
        <v>2.2683078403464014</v>
      </c>
      <c r="E29" s="28">
        <v>6</v>
      </c>
      <c r="F29" s="28">
        <v>6</v>
      </c>
      <c r="G29" s="28">
        <v>2.2683078399999999</v>
      </c>
      <c r="H29" s="28">
        <v>2.3222375461999998</v>
      </c>
      <c r="I29" s="28" t="s">
        <v>15</v>
      </c>
    </row>
    <row r="30" spans="1:9">
      <c r="A30" s="10">
        <v>43282</v>
      </c>
      <c r="B30" s="30">
        <v>102.137</v>
      </c>
      <c r="C30" s="9">
        <v>7</v>
      </c>
      <c r="D30" s="9">
        <f t="shared" si="0"/>
        <v>2.3386070559001264</v>
      </c>
      <c r="E30" s="28">
        <v>7</v>
      </c>
      <c r="F30" s="28">
        <v>7</v>
      </c>
      <c r="G30" s="28">
        <v>2.3386070559999999</v>
      </c>
      <c r="H30" s="28">
        <v>2.2461091979000001</v>
      </c>
      <c r="I30" s="28" t="s">
        <v>16</v>
      </c>
    </row>
    <row r="31" spans="1:9">
      <c r="A31" s="10">
        <v>43313</v>
      </c>
      <c r="B31" s="30">
        <v>102.208</v>
      </c>
      <c r="C31" s="9">
        <v>8</v>
      </c>
      <c r="D31" s="9">
        <f t="shared" si="0"/>
        <v>2.1804112889519804</v>
      </c>
      <c r="E31" s="28">
        <v>8</v>
      </c>
      <c r="F31" s="28">
        <v>8</v>
      </c>
      <c r="G31" s="28">
        <v>2.1804112889999998</v>
      </c>
      <c r="H31" s="28">
        <v>2.1699808494999999</v>
      </c>
    </row>
    <row r="32" spans="1:9">
      <c r="A32" s="10">
        <v>43344</v>
      </c>
      <c r="B32" s="30">
        <v>102.41800000000001</v>
      </c>
      <c r="C32" s="9">
        <v>9</v>
      </c>
      <c r="D32" s="9">
        <f t="shared" si="0"/>
        <v>2.0099601593625502</v>
      </c>
      <c r="E32" s="28">
        <v>9</v>
      </c>
      <c r="F32" s="28">
        <v>9</v>
      </c>
      <c r="G32" s="28">
        <v>2.0099601589999998</v>
      </c>
      <c r="H32" s="28">
        <v>2.0938525011000002</v>
      </c>
      <c r="I32" s="28" t="s">
        <v>17</v>
      </c>
    </row>
    <row r="33" spans="1:9">
      <c r="A33" s="10">
        <v>43374</v>
      </c>
      <c r="B33" s="30">
        <v>102.595</v>
      </c>
      <c r="C33" s="9">
        <v>10</v>
      </c>
      <c r="D33" s="9">
        <f t="shared" si="0"/>
        <v>2.0530980493579025</v>
      </c>
      <c r="E33" s="28">
        <v>10</v>
      </c>
      <c r="F33" s="28">
        <v>10</v>
      </c>
      <c r="G33" s="28">
        <v>2.0530980489999999</v>
      </c>
      <c r="H33" s="28">
        <v>2.0177241528000001</v>
      </c>
      <c r="I33" s="28" t="s">
        <v>18</v>
      </c>
    </row>
    <row r="34" spans="1:9">
      <c r="A34" s="10">
        <v>43405</v>
      </c>
      <c r="B34" s="30">
        <v>102.63</v>
      </c>
      <c r="C34" s="9">
        <v>11</v>
      </c>
      <c r="D34" s="9">
        <f t="shared" si="0"/>
        <v>1.9418922274646122</v>
      </c>
      <c r="E34" s="28">
        <v>11</v>
      </c>
      <c r="F34" s="28">
        <v>11</v>
      </c>
      <c r="G34" s="28">
        <v>1.9418922270000001</v>
      </c>
      <c r="H34" s="28">
        <v>1.9415958043999999</v>
      </c>
      <c r="I34" s="28" t="s">
        <v>19</v>
      </c>
    </row>
    <row r="35" spans="1:9">
      <c r="A35" s="10">
        <v>43435</v>
      </c>
      <c r="B35" s="30">
        <v>102.70099999999999</v>
      </c>
      <c r="C35" s="9">
        <v>12</v>
      </c>
      <c r="D35" s="9">
        <f t="shared" si="0"/>
        <v>1.8646908878110666</v>
      </c>
      <c r="E35" s="28">
        <v>12</v>
      </c>
      <c r="F35" s="28">
        <v>12</v>
      </c>
      <c r="G35" s="28">
        <v>1.8646908879999999</v>
      </c>
      <c r="H35" s="28">
        <v>1.8654674561</v>
      </c>
      <c r="I35" s="28" t="s">
        <v>20</v>
      </c>
    </row>
    <row r="36" spans="1:9">
      <c r="A36" s="16">
        <v>43466</v>
      </c>
      <c r="B36" s="30">
        <v>102.648</v>
      </c>
      <c r="C36" s="14">
        <v>13</v>
      </c>
      <c r="D36" s="14">
        <f t="shared" si="0"/>
        <v>1.4318323303589937</v>
      </c>
      <c r="E36" s="28">
        <v>13</v>
      </c>
      <c r="F36" s="28">
        <v>13</v>
      </c>
      <c r="G36" s="28">
        <v>1.43183233</v>
      </c>
      <c r="H36" s="28">
        <v>1.4304196244</v>
      </c>
      <c r="I36" s="28" t="s">
        <v>21</v>
      </c>
    </row>
    <row r="37" spans="1:9">
      <c r="A37" s="10">
        <v>43497</v>
      </c>
      <c r="B37" s="30">
        <v>102.836</v>
      </c>
      <c r="C37" s="9">
        <v>14</v>
      </c>
      <c r="D37" s="9">
        <f t="shared" si="0"/>
        <v>1.400173542636272</v>
      </c>
      <c r="E37" s="28">
        <v>14</v>
      </c>
      <c r="F37" s="28">
        <v>14</v>
      </c>
      <c r="G37" s="28">
        <v>1.400173543</v>
      </c>
      <c r="H37" s="28">
        <v>1.4537803713999999</v>
      </c>
      <c r="I37" s="28" t="s">
        <v>22</v>
      </c>
    </row>
    <row r="38" spans="1:9">
      <c r="A38" s="10">
        <v>43525</v>
      </c>
      <c r="B38" s="30">
        <v>103.069</v>
      </c>
      <c r="C38" s="9">
        <v>15</v>
      </c>
      <c r="D38" s="9">
        <f t="shared" si="0"/>
        <v>1.5218076513927759</v>
      </c>
      <c r="E38" s="28">
        <v>15</v>
      </c>
      <c r="F38" s="28">
        <v>15</v>
      </c>
      <c r="G38" s="28">
        <v>1.521807651</v>
      </c>
      <c r="H38" s="28">
        <v>1.4771411184000001</v>
      </c>
      <c r="I38" s="28" t="s">
        <v>23</v>
      </c>
    </row>
    <row r="39" spans="1:9">
      <c r="A39" s="10">
        <v>43556</v>
      </c>
      <c r="B39" s="30">
        <v>103.36</v>
      </c>
      <c r="C39" s="9">
        <v>16</v>
      </c>
      <c r="D39" s="9">
        <f t="shared" si="0"/>
        <v>1.5663384627478667</v>
      </c>
      <c r="E39" s="28">
        <v>16</v>
      </c>
      <c r="F39" s="28">
        <v>16</v>
      </c>
      <c r="G39" s="28">
        <v>1.5663384629999999</v>
      </c>
      <c r="H39" s="28">
        <v>1.5005018654</v>
      </c>
      <c r="I39" s="28" t="s">
        <v>24</v>
      </c>
    </row>
    <row r="40" spans="1:9">
      <c r="A40" s="10">
        <v>43586</v>
      </c>
      <c r="B40" s="30">
        <v>103.435</v>
      </c>
      <c r="C40" s="9">
        <v>17</v>
      </c>
      <c r="D40" s="9">
        <f t="shared" si="0"/>
        <v>1.4655536045359567</v>
      </c>
      <c r="E40" s="28">
        <v>17</v>
      </c>
      <c r="F40" s="28">
        <v>17</v>
      </c>
      <c r="G40" s="28">
        <v>1.465553605</v>
      </c>
      <c r="H40" s="28">
        <v>1.5238626124000001</v>
      </c>
      <c r="I40" s="28" t="s">
        <v>25</v>
      </c>
    </row>
    <row r="41" spans="1:9">
      <c r="A41" s="16">
        <v>43617</v>
      </c>
      <c r="B41" s="30">
        <v>103.48399999999999</v>
      </c>
      <c r="C41" s="14">
        <v>18</v>
      </c>
      <c r="D41" s="14">
        <f t="shared" si="0"/>
        <v>1.4260651383430185</v>
      </c>
      <c r="E41" s="28">
        <v>18</v>
      </c>
      <c r="F41" s="28">
        <v>18</v>
      </c>
      <c r="G41" s="28">
        <v>1.426065138</v>
      </c>
      <c r="H41" s="28">
        <v>1.4655818102</v>
      </c>
      <c r="I41" s="28" t="s">
        <v>26</v>
      </c>
    </row>
    <row r="42" spans="1:9">
      <c r="A42" s="10">
        <v>43647</v>
      </c>
      <c r="B42" s="30">
        <v>103.622</v>
      </c>
      <c r="C42" s="9">
        <v>19</v>
      </c>
      <c r="D42" s="9">
        <f t="shared" si="0"/>
        <v>1.4539295260287648</v>
      </c>
      <c r="E42" s="28">
        <v>19</v>
      </c>
      <c r="F42" s="28">
        <v>19</v>
      </c>
      <c r="G42" s="28">
        <v>1.453929526</v>
      </c>
      <c r="H42" s="28">
        <v>1.4210835933999999</v>
      </c>
      <c r="I42" s="28" t="s">
        <v>219</v>
      </c>
    </row>
    <row r="43" spans="1:9">
      <c r="A43" s="10">
        <v>43678</v>
      </c>
      <c r="B43" s="30">
        <v>103.67</v>
      </c>
      <c r="C43" s="9">
        <v>20</v>
      </c>
      <c r="D43" s="9">
        <f t="shared" si="0"/>
        <v>1.4304164057608046</v>
      </c>
      <c r="E43" s="28">
        <v>20</v>
      </c>
      <c r="F43" s="28">
        <v>20</v>
      </c>
      <c r="G43" s="28">
        <v>1.430416406</v>
      </c>
      <c r="H43" s="28">
        <v>1.3765853766</v>
      </c>
      <c r="I43" s="28" t="s">
        <v>220</v>
      </c>
    </row>
    <row r="44" spans="1:9">
      <c r="A44" s="10">
        <v>43709</v>
      </c>
      <c r="B44" s="30">
        <v>103.733</v>
      </c>
      <c r="C44" s="9">
        <v>21</v>
      </c>
      <c r="D44" s="9">
        <f t="shared" si="0"/>
        <v>1.2839539924622603</v>
      </c>
      <c r="E44" s="28">
        <v>21</v>
      </c>
      <c r="F44" s="28">
        <v>21</v>
      </c>
      <c r="G44" s="28">
        <v>1.283953992</v>
      </c>
      <c r="H44" s="28">
        <v>1.3320871597999999</v>
      </c>
      <c r="I44" s="28" t="s">
        <v>221</v>
      </c>
    </row>
    <row r="45" spans="1:9">
      <c r="A45" s="10">
        <v>43739</v>
      </c>
      <c r="B45" s="30">
        <v>103.917</v>
      </c>
      <c r="C45" s="9">
        <v>22</v>
      </c>
      <c r="D45" s="9">
        <f t="shared" si="0"/>
        <v>1.2885618207515013</v>
      </c>
      <c r="E45" s="28">
        <v>22</v>
      </c>
      <c r="F45" s="28">
        <v>22</v>
      </c>
      <c r="G45" s="28">
        <v>1.2885618210000001</v>
      </c>
      <c r="H45" s="28">
        <v>1.287588943</v>
      </c>
      <c r="I45" s="28" t="s">
        <v>222</v>
      </c>
    </row>
    <row r="46" spans="1:9">
      <c r="A46" s="16">
        <v>43770</v>
      </c>
      <c r="B46" s="30">
        <v>104.024</v>
      </c>
      <c r="C46" s="14">
        <v>23</v>
      </c>
      <c r="D46" s="14">
        <f t="shared" si="0"/>
        <v>1.3582773068303668</v>
      </c>
      <c r="E46" s="28">
        <v>23</v>
      </c>
      <c r="F46" s="28">
        <v>23</v>
      </c>
      <c r="G46" s="28">
        <v>1.358277307</v>
      </c>
      <c r="H46" s="28">
        <v>1.7312877777</v>
      </c>
      <c r="I46" s="28" t="s">
        <v>223</v>
      </c>
    </row>
    <row r="47" spans="1:9">
      <c r="A47" s="10">
        <v>43800</v>
      </c>
      <c r="B47" s="30">
        <v>104.307</v>
      </c>
      <c r="C47" s="9">
        <v>24</v>
      </c>
      <c r="D47" s="9">
        <f t="shared" si="0"/>
        <v>1.5637627676458932</v>
      </c>
      <c r="E47" s="28">
        <v>24</v>
      </c>
      <c r="F47" s="28">
        <v>24</v>
      </c>
      <c r="G47" s="28">
        <v>1.5637627679999999</v>
      </c>
      <c r="H47" s="28">
        <v>1.5609958544</v>
      </c>
      <c r="I47" s="28" t="s">
        <v>224</v>
      </c>
    </row>
    <row r="48" spans="1:9">
      <c r="A48" s="10">
        <v>43831</v>
      </c>
      <c r="B48" s="30">
        <v>104.419</v>
      </c>
      <c r="C48" s="9">
        <v>25</v>
      </c>
      <c r="D48" s="9">
        <f t="shared" si="0"/>
        <v>1.7253136933988007</v>
      </c>
      <c r="E48" s="28">
        <v>25</v>
      </c>
      <c r="F48" s="28">
        <v>25</v>
      </c>
      <c r="G48" s="28">
        <v>1.7253136929999999</v>
      </c>
      <c r="H48" s="28">
        <v>1.3907039311</v>
      </c>
      <c r="I48" s="28" t="s">
        <v>225</v>
      </c>
    </row>
    <row r="49" spans="1:9">
      <c r="A49" s="10">
        <v>43862</v>
      </c>
      <c r="B49" s="30">
        <v>104.541</v>
      </c>
      <c r="C49" s="9">
        <v>26</v>
      </c>
      <c r="D49" s="9">
        <f t="shared" si="0"/>
        <v>1.6579796958263626</v>
      </c>
      <c r="E49" s="28">
        <v>26</v>
      </c>
      <c r="F49" s="28">
        <v>26</v>
      </c>
      <c r="G49" s="28">
        <v>1.6579796959999999</v>
      </c>
      <c r="H49" s="28">
        <v>1.2204120079</v>
      </c>
      <c r="I49" s="28" t="s">
        <v>226</v>
      </c>
    </row>
    <row r="50" spans="1:9">
      <c r="A50" s="10">
        <v>43891</v>
      </c>
      <c r="B50" s="30">
        <v>104.252</v>
      </c>
      <c r="C50" s="9">
        <v>27</v>
      </c>
      <c r="D50" s="9">
        <f t="shared" si="0"/>
        <v>1.1477747916444252</v>
      </c>
      <c r="E50" s="28">
        <v>27</v>
      </c>
      <c r="F50" s="28">
        <v>27</v>
      </c>
      <c r="G50" s="28">
        <v>1.1477747920000001</v>
      </c>
      <c r="H50" s="28">
        <v>1.0501200846000001</v>
      </c>
      <c r="I50" s="28" t="s">
        <v>227</v>
      </c>
    </row>
    <row r="51" spans="1:9">
      <c r="A51" s="10">
        <v>43922</v>
      </c>
      <c r="B51" s="30">
        <v>103.81699999999999</v>
      </c>
      <c r="C51" s="9">
        <v>28</v>
      </c>
      <c r="D51" s="9">
        <f t="shared" si="0"/>
        <v>0.44214396284829105</v>
      </c>
      <c r="E51" s="28">
        <v>28</v>
      </c>
      <c r="F51" s="28">
        <v>28</v>
      </c>
      <c r="G51" s="28">
        <v>0.44214396299999997</v>
      </c>
      <c r="H51" s="28">
        <v>0.87982816139999998</v>
      </c>
      <c r="I51" s="28" t="s">
        <v>228</v>
      </c>
    </row>
    <row r="52" spans="1:9">
      <c r="A52" s="10">
        <v>43952</v>
      </c>
      <c r="B52" s="30">
        <v>103.914</v>
      </c>
      <c r="C52" s="9">
        <v>29</v>
      </c>
      <c r="D52" s="9">
        <f t="shared" si="0"/>
        <v>0.46309276357132423</v>
      </c>
      <c r="E52" s="28">
        <v>29</v>
      </c>
      <c r="F52" s="28">
        <v>29</v>
      </c>
      <c r="G52" s="28">
        <v>0.46309276399999999</v>
      </c>
      <c r="H52" s="28">
        <v>0.70953623809999999</v>
      </c>
      <c r="I52" s="28" t="s">
        <v>229</v>
      </c>
    </row>
    <row r="53" spans="1:9">
      <c r="A53" s="10">
        <v>43983</v>
      </c>
      <c r="B53" s="30">
        <v>104.233</v>
      </c>
      <c r="C53" s="9">
        <v>30</v>
      </c>
      <c r="D53" s="9">
        <f t="shared" si="0"/>
        <v>0.7237833868037663</v>
      </c>
      <c r="E53" s="28">
        <v>30</v>
      </c>
      <c r="F53" s="28">
        <v>30</v>
      </c>
      <c r="G53" s="28">
        <v>0.723783387</v>
      </c>
      <c r="H53" s="28">
        <v>0.53924431480000001</v>
      </c>
      <c r="I53" s="28" t="s">
        <v>230</v>
      </c>
    </row>
    <row r="54" spans="1:9">
      <c r="A54" s="16">
        <v>44013</v>
      </c>
      <c r="B54" s="30">
        <v>104.56399999999999</v>
      </c>
      <c r="C54" s="14">
        <v>31</v>
      </c>
      <c r="D54" s="14">
        <f t="shared" si="0"/>
        <v>0.90907336279939888</v>
      </c>
      <c r="E54" s="28">
        <v>31</v>
      </c>
      <c r="F54" s="28">
        <v>31</v>
      </c>
      <c r="G54" s="28">
        <v>0.90907336299999997</v>
      </c>
      <c r="H54" s="28">
        <v>0.93293996089999998</v>
      </c>
      <c r="I54" s="28" t="s">
        <v>231</v>
      </c>
    </row>
    <row r="55" spans="1:9">
      <c r="A55" s="10">
        <v>44044</v>
      </c>
      <c r="B55" s="30">
        <v>104.887</v>
      </c>
      <c r="C55" s="9">
        <v>32</v>
      </c>
      <c r="D55" s="9">
        <f t="shared" si="0"/>
        <v>1.1739172373878641</v>
      </c>
      <c r="E55" s="28">
        <v>32</v>
      </c>
      <c r="F55" s="28">
        <v>32</v>
      </c>
      <c r="G55" s="28">
        <v>1.1739172369999999</v>
      </c>
      <c r="H55" s="28">
        <v>1.0382822183</v>
      </c>
      <c r="I55" s="28" t="s">
        <v>232</v>
      </c>
    </row>
    <row r="56" spans="1:9">
      <c r="A56" s="10">
        <v>44075</v>
      </c>
      <c r="B56" s="30">
        <v>105.04600000000001</v>
      </c>
      <c r="C56" s="9">
        <v>33</v>
      </c>
      <c r="D56" s="9">
        <f t="shared" si="0"/>
        <v>1.2657495686040146</v>
      </c>
      <c r="E56" s="28">
        <v>33</v>
      </c>
      <c r="F56" s="28">
        <v>33</v>
      </c>
      <c r="G56" s="28">
        <v>1.265749569</v>
      </c>
      <c r="H56" s="28">
        <v>1.1436244756</v>
      </c>
      <c r="I56" s="28" t="s">
        <v>233</v>
      </c>
    </row>
    <row r="57" spans="1:9">
      <c r="A57" s="10">
        <v>44105</v>
      </c>
      <c r="B57" s="30">
        <v>105.10599999999999</v>
      </c>
      <c r="C57" s="9">
        <v>34</v>
      </c>
      <c r="D57" s="9">
        <f t="shared" si="0"/>
        <v>1.144182376319556</v>
      </c>
      <c r="E57" s="28">
        <v>34</v>
      </c>
      <c r="F57" s="28">
        <v>34</v>
      </c>
      <c r="G57" s="28">
        <v>1.1441823760000001</v>
      </c>
      <c r="H57" s="28">
        <v>1.2489667330000001</v>
      </c>
      <c r="I57" s="28" t="s">
        <v>234</v>
      </c>
    </row>
    <row r="58" spans="1:9">
      <c r="A58" s="10">
        <v>44136</v>
      </c>
      <c r="B58" s="30">
        <v>105.22499999999999</v>
      </c>
      <c r="C58" s="9">
        <v>35</v>
      </c>
      <c r="D58" s="9">
        <f t="shared" si="0"/>
        <v>1.1545412597092914</v>
      </c>
      <c r="E58" s="28">
        <v>35</v>
      </c>
      <c r="F58" s="28">
        <v>35</v>
      </c>
      <c r="G58" s="28">
        <v>1.15454126</v>
      </c>
      <c r="H58" s="28">
        <v>1.3543089903000001</v>
      </c>
      <c r="I58" s="28" t="s">
        <v>109</v>
      </c>
    </row>
    <row r="59" spans="1:9">
      <c r="A59" s="10">
        <v>44166</v>
      </c>
      <c r="B59" s="30">
        <v>105.69</v>
      </c>
      <c r="C59" s="9">
        <v>36</v>
      </c>
      <c r="D59" s="9">
        <f t="shared" si="0"/>
        <v>1.3258937559320041</v>
      </c>
      <c r="E59" s="28">
        <v>36</v>
      </c>
      <c r="F59" s="28">
        <v>36</v>
      </c>
      <c r="G59" s="28">
        <v>1.3258937559999999</v>
      </c>
      <c r="H59" s="28">
        <v>1.4596512476000001</v>
      </c>
      <c r="I59" s="28" t="s">
        <v>235</v>
      </c>
    </row>
    <row r="60" spans="1:9">
      <c r="A60" s="10">
        <v>44197</v>
      </c>
      <c r="B60" s="30">
        <v>106.083</v>
      </c>
      <c r="C60" s="9">
        <v>37</v>
      </c>
      <c r="D60" s="9">
        <f t="shared" si="0"/>
        <v>1.5935797125044306</v>
      </c>
      <c r="E60" s="28">
        <v>37</v>
      </c>
      <c r="F60" s="28">
        <v>37</v>
      </c>
      <c r="G60" s="28">
        <v>1.593579713</v>
      </c>
      <c r="H60" s="28">
        <v>1.5649935049999999</v>
      </c>
      <c r="I60" s="28" t="s">
        <v>236</v>
      </c>
    </row>
    <row r="61" spans="1:9">
      <c r="A61" s="10">
        <v>44228</v>
      </c>
      <c r="B61" s="30">
        <v>106.471</v>
      </c>
      <c r="C61" s="9">
        <v>38</v>
      </c>
      <c r="D61" s="9">
        <f t="shared" si="0"/>
        <v>1.846165619230739</v>
      </c>
      <c r="E61" s="28">
        <v>38</v>
      </c>
      <c r="F61" s="28">
        <v>38</v>
      </c>
      <c r="G61" s="28">
        <v>1.846165619</v>
      </c>
      <c r="H61" s="28">
        <v>1.6703357622999999</v>
      </c>
      <c r="I61" s="28" t="s">
        <v>237</v>
      </c>
    </row>
    <row r="62" spans="1:9">
      <c r="A62" s="16">
        <v>44256</v>
      </c>
      <c r="B62" s="30">
        <v>107.032</v>
      </c>
      <c r="C62" s="14">
        <v>39</v>
      </c>
      <c r="D62" s="14">
        <f t="shared" si="0"/>
        <v>2.6666155085753762</v>
      </c>
      <c r="E62" s="28">
        <v>39</v>
      </c>
      <c r="F62" s="28">
        <v>39</v>
      </c>
      <c r="G62" s="28">
        <v>2.6666155090000001</v>
      </c>
      <c r="H62" s="28">
        <v>2.9906219456000001</v>
      </c>
      <c r="I62" s="28" t="s">
        <v>238</v>
      </c>
    </row>
    <row r="63" spans="1:9">
      <c r="A63" s="10">
        <v>44287</v>
      </c>
      <c r="B63" s="30">
        <v>107.63200000000001</v>
      </c>
      <c r="C63" s="9">
        <v>40</v>
      </c>
      <c r="D63" s="9">
        <f t="shared" si="0"/>
        <v>3.6747353516283576</v>
      </c>
      <c r="E63" s="28">
        <v>40</v>
      </c>
      <c r="F63" s="28">
        <v>40</v>
      </c>
      <c r="G63" s="28">
        <v>3.6747353519999999</v>
      </c>
      <c r="H63" s="28">
        <v>3.4240644095000001</v>
      </c>
      <c r="I63" s="28" t="s">
        <v>110</v>
      </c>
    </row>
    <row r="64" spans="1:9">
      <c r="A64" s="10">
        <v>44317</v>
      </c>
      <c r="B64" s="30">
        <v>108.184</v>
      </c>
      <c r="C64" s="9">
        <v>41</v>
      </c>
      <c r="D64" s="9">
        <f t="shared" si="0"/>
        <v>4.1091671959504934</v>
      </c>
      <c r="E64" s="28">
        <v>41</v>
      </c>
      <c r="F64" s="28">
        <v>41</v>
      </c>
      <c r="G64" s="28">
        <v>4.1091671959999996</v>
      </c>
      <c r="H64" s="28">
        <v>3.8575068734000002</v>
      </c>
      <c r="I64" s="28" t="s">
        <v>239</v>
      </c>
    </row>
    <row r="65" spans="1:9">
      <c r="A65" s="10">
        <v>44348</v>
      </c>
      <c r="B65" s="30">
        <v>108.748</v>
      </c>
      <c r="C65" s="9">
        <v>42</v>
      </c>
      <c r="D65" s="9">
        <f t="shared" si="0"/>
        <v>4.3316416106223556</v>
      </c>
      <c r="E65" s="28">
        <v>42</v>
      </c>
      <c r="F65" s="28">
        <v>42</v>
      </c>
      <c r="G65" s="28">
        <v>4.3316416110000002</v>
      </c>
      <c r="H65" s="28">
        <v>4.2909493372999998</v>
      </c>
      <c r="I65" s="28" t="s">
        <v>240</v>
      </c>
    </row>
    <row r="66" spans="1:9">
      <c r="A66" s="10">
        <v>44378</v>
      </c>
      <c r="B66" s="30">
        <v>109.27500000000001</v>
      </c>
      <c r="C66" s="9">
        <v>43</v>
      </c>
      <c r="D66" s="9">
        <f t="shared" si="0"/>
        <v>4.5053746987491037</v>
      </c>
      <c r="E66" s="28">
        <v>43</v>
      </c>
      <c r="F66" s="28">
        <v>43</v>
      </c>
      <c r="G66" s="28">
        <v>4.5053746989999999</v>
      </c>
      <c r="H66" s="28">
        <v>4.7243918012000004</v>
      </c>
      <c r="I66" s="28" t="s">
        <v>241</v>
      </c>
    </row>
    <row r="67" spans="1:9">
      <c r="A67" s="16">
        <v>44409</v>
      </c>
      <c r="B67" s="30">
        <v>109.72</v>
      </c>
      <c r="C67" s="14">
        <v>44</v>
      </c>
      <c r="D67" s="14">
        <f t="shared" si="0"/>
        <v>4.6078160305852949</v>
      </c>
      <c r="E67" s="28">
        <v>44</v>
      </c>
      <c r="F67" s="28">
        <v>44</v>
      </c>
      <c r="G67" s="28">
        <v>4.6078160309999996</v>
      </c>
      <c r="H67" s="28">
        <v>4.5053705653999998</v>
      </c>
      <c r="I67" s="28" t="s">
        <v>242</v>
      </c>
    </row>
    <row r="68" spans="1:9">
      <c r="A68" s="10">
        <v>44440</v>
      </c>
      <c r="B68" s="30">
        <v>110.047</v>
      </c>
      <c r="C68" s="9">
        <v>45</v>
      </c>
      <c r="D68" s="9">
        <f t="shared" si="0"/>
        <v>4.7607714715457901</v>
      </c>
      <c r="E68" s="28">
        <v>45</v>
      </c>
      <c r="F68" s="28">
        <v>45</v>
      </c>
      <c r="G68" s="28">
        <v>4.7607714720000001</v>
      </c>
      <c r="H68" s="28">
        <v>4.9409002427999997</v>
      </c>
      <c r="I68" s="28" t="s">
        <v>243</v>
      </c>
    </row>
    <row r="69" spans="1:9">
      <c r="A69" s="10">
        <v>44470</v>
      </c>
      <c r="B69" s="30">
        <v>110.741</v>
      </c>
      <c r="C69" s="9">
        <v>46</v>
      </c>
      <c r="D69" s="9">
        <f t="shared" si="0"/>
        <v>5.3612543527486585</v>
      </c>
      <c r="E69" s="28">
        <v>46</v>
      </c>
      <c r="F69" s="28">
        <v>46</v>
      </c>
      <c r="G69" s="28">
        <v>5.3612543529999996</v>
      </c>
      <c r="H69" s="28">
        <v>5.3764299201999997</v>
      </c>
      <c r="I69" s="28" t="s">
        <v>244</v>
      </c>
    </row>
    <row r="70" spans="1:9">
      <c r="A70" s="10">
        <v>44501</v>
      </c>
      <c r="B70" s="30">
        <v>111.51</v>
      </c>
      <c r="C70" s="9">
        <v>47</v>
      </c>
      <c r="D70" s="9">
        <f t="shared" si="0"/>
        <v>5.9729151817533968</v>
      </c>
      <c r="E70" s="28">
        <v>47</v>
      </c>
      <c r="F70" s="28">
        <v>47</v>
      </c>
      <c r="G70" s="28">
        <v>5.9729151820000004</v>
      </c>
      <c r="H70" s="28">
        <v>5.8119595975999996</v>
      </c>
      <c r="I70" s="28" t="s">
        <v>245</v>
      </c>
    </row>
    <row r="71" spans="1:9">
      <c r="A71" s="10">
        <v>44531</v>
      </c>
      <c r="B71" s="30">
        <v>112.221</v>
      </c>
      <c r="C71" s="9">
        <v>48</v>
      </c>
      <c r="D71" s="9">
        <f t="shared" si="0"/>
        <v>6.1793925631564068</v>
      </c>
      <c r="E71" s="28">
        <v>48</v>
      </c>
      <c r="F71" s="28">
        <v>48</v>
      </c>
      <c r="G71" s="28">
        <v>6.1793925630000004</v>
      </c>
      <c r="H71" s="28">
        <v>6.2474892750000004</v>
      </c>
      <c r="I71" s="28" t="s">
        <v>246</v>
      </c>
    </row>
    <row r="72" spans="1:9">
      <c r="A72" s="16">
        <v>44562</v>
      </c>
      <c r="B72" s="30">
        <v>112.776</v>
      </c>
      <c r="C72" s="14">
        <v>49</v>
      </c>
      <c r="D72" s="14">
        <f t="shared" si="0"/>
        <v>6.3092107123667294</v>
      </c>
      <c r="E72" s="28">
        <v>49</v>
      </c>
      <c r="F72" s="28">
        <v>49</v>
      </c>
      <c r="G72" s="28">
        <v>6.3092107119999996</v>
      </c>
      <c r="H72" s="28">
        <v>6.4083166605999997</v>
      </c>
      <c r="I72" s="28" t="s">
        <v>247</v>
      </c>
    </row>
    <row r="73" spans="1:9">
      <c r="A73" s="10">
        <v>44593</v>
      </c>
      <c r="B73" s="30">
        <v>113.489</v>
      </c>
      <c r="C73" s="9">
        <v>50</v>
      </c>
      <c r="D73" s="9">
        <f t="shared" si="0"/>
        <v>6.5914662208488703</v>
      </c>
      <c r="E73" s="28">
        <v>50</v>
      </c>
      <c r="F73" s="28">
        <v>50</v>
      </c>
      <c r="G73" s="28">
        <v>6.5914662210000001</v>
      </c>
      <c r="H73" s="28">
        <v>6.5529590067000001</v>
      </c>
      <c r="I73" s="28" t="s">
        <v>248</v>
      </c>
    </row>
    <row r="74" spans="1:9">
      <c r="A74" s="10">
        <v>44621</v>
      </c>
      <c r="B74" s="30">
        <v>114.489</v>
      </c>
      <c r="C74" s="9">
        <v>51</v>
      </c>
      <c r="D74" s="9">
        <f t="shared" si="0"/>
        <v>6.9670752672098137</v>
      </c>
      <c r="E74" s="28">
        <v>51</v>
      </c>
      <c r="F74" s="28">
        <v>51</v>
      </c>
      <c r="G74" s="28">
        <v>6.9670752670000002</v>
      </c>
      <c r="H74" s="28">
        <v>6.6976013527999996</v>
      </c>
      <c r="I74" s="28" t="s">
        <v>249</v>
      </c>
    </row>
    <row r="75" spans="1:9">
      <c r="A75" s="10">
        <v>44652</v>
      </c>
      <c r="B75" s="30">
        <v>114.845</v>
      </c>
      <c r="C75" s="9">
        <v>52</v>
      </c>
      <c r="D75" s="9">
        <f t="shared" si="0"/>
        <v>6.7015385758882058</v>
      </c>
      <c r="E75" s="28">
        <v>52</v>
      </c>
      <c r="F75" s="28">
        <v>52</v>
      </c>
      <c r="G75" s="28">
        <v>6.7015385759999999</v>
      </c>
      <c r="H75" s="28">
        <v>6.8422436988999999</v>
      </c>
      <c r="I75" s="28" t="s">
        <v>250</v>
      </c>
    </row>
    <row r="76" spans="1:9">
      <c r="A76" s="10">
        <v>44682</v>
      </c>
      <c r="B76" s="30">
        <v>115.542</v>
      </c>
      <c r="C76" s="9">
        <v>53</v>
      </c>
      <c r="D76" s="9">
        <f t="shared" si="0"/>
        <v>6.8013754344450232</v>
      </c>
      <c r="E76" s="28">
        <v>53</v>
      </c>
      <c r="F76" s="28">
        <v>53</v>
      </c>
      <c r="G76" s="28">
        <v>6.8013754339999997</v>
      </c>
      <c r="H76" s="28">
        <v>6.9868860450000003</v>
      </c>
      <c r="I76" s="28" t="s">
        <v>251</v>
      </c>
    </row>
    <row r="77" spans="1:9">
      <c r="A77" s="10">
        <v>44713</v>
      </c>
      <c r="B77" s="30">
        <v>116.631</v>
      </c>
      <c r="C77" s="9">
        <v>54</v>
      </c>
      <c r="D77" s="9">
        <f t="shared" si="0"/>
        <v>7.2488689447162198</v>
      </c>
      <c r="E77" s="28">
        <v>54</v>
      </c>
      <c r="F77" s="28">
        <v>54</v>
      </c>
      <c r="G77" s="28">
        <v>7.2488689449999999</v>
      </c>
      <c r="H77" s="28">
        <v>7.1315283909999998</v>
      </c>
      <c r="I77" s="28" t="s">
        <v>252</v>
      </c>
    </row>
    <row r="78" spans="1:9">
      <c r="A78" s="16">
        <v>44743</v>
      </c>
      <c r="B78" s="30">
        <v>116.66200000000001</v>
      </c>
      <c r="C78" s="14">
        <v>55</v>
      </c>
      <c r="D78" s="14">
        <f t="shared" si="0"/>
        <v>6.7600091512239766</v>
      </c>
      <c r="E78" s="28">
        <v>55</v>
      </c>
      <c r="F78" s="28">
        <v>55</v>
      </c>
      <c r="G78" s="28">
        <v>6.7600091510000002</v>
      </c>
      <c r="H78" s="28">
        <v>6.9431297947999999</v>
      </c>
      <c r="I78" s="28" t="s">
        <v>253</v>
      </c>
    </row>
    <row r="79" spans="1:9">
      <c r="A79" s="10">
        <v>44774</v>
      </c>
      <c r="B79" s="30">
        <v>117.002</v>
      </c>
      <c r="C79" s="9">
        <v>56</v>
      </c>
      <c r="D79" s="9">
        <f t="shared" si="0"/>
        <v>6.6368939117754246</v>
      </c>
      <c r="E79" s="28">
        <v>56</v>
      </c>
      <c r="F79" s="28">
        <v>56</v>
      </c>
      <c r="G79" s="28">
        <v>6.6368939119999997</v>
      </c>
      <c r="H79" s="28">
        <v>6.7013675118</v>
      </c>
      <c r="I79" s="28" t="s">
        <v>254</v>
      </c>
    </row>
    <row r="80" spans="1:9">
      <c r="A80" s="10">
        <v>44805</v>
      </c>
      <c r="B80" s="30">
        <v>117.377</v>
      </c>
      <c r="C80" s="9">
        <v>57</v>
      </c>
      <c r="D80" s="9">
        <f t="shared" si="0"/>
        <v>6.6607903895608223</v>
      </c>
      <c r="E80" s="28">
        <v>57</v>
      </c>
      <c r="F80" s="28">
        <v>57</v>
      </c>
      <c r="G80" s="28">
        <v>6.6607903899999998</v>
      </c>
      <c r="H80" s="28">
        <v>6.4596052288000001</v>
      </c>
      <c r="I80" s="28" t="s">
        <v>255</v>
      </c>
    </row>
    <row r="81" spans="1:9">
      <c r="A81" s="10">
        <v>44835</v>
      </c>
      <c r="B81" s="30">
        <v>117.89100000000001</v>
      </c>
      <c r="C81" s="9">
        <v>58</v>
      </c>
      <c r="D81" s="9">
        <f t="shared" si="0"/>
        <v>6.4565066235630937</v>
      </c>
      <c r="E81" s="28">
        <v>58</v>
      </c>
      <c r="F81" s="28">
        <v>58</v>
      </c>
      <c r="G81" s="28">
        <v>6.4565066240000002</v>
      </c>
      <c r="H81" s="28">
        <v>6.2178429458000002</v>
      </c>
      <c r="I81" s="28" t="s">
        <v>256</v>
      </c>
    </row>
    <row r="82" spans="1:9">
      <c r="A82" s="10">
        <v>44866</v>
      </c>
      <c r="B82" s="30">
        <v>118.221</v>
      </c>
      <c r="C82" s="9">
        <v>59</v>
      </c>
      <c r="D82" s="9">
        <f t="shared" si="0"/>
        <v>6.0182943233790684</v>
      </c>
      <c r="E82" s="28">
        <v>59</v>
      </c>
      <c r="F82" s="28">
        <v>59</v>
      </c>
      <c r="G82" s="28">
        <v>6.0182943230000001</v>
      </c>
      <c r="H82" s="28">
        <v>5.9760806627000003</v>
      </c>
      <c r="I82" s="28" t="s">
        <v>257</v>
      </c>
    </row>
    <row r="83" spans="1:9">
      <c r="A83" s="10">
        <v>44896</v>
      </c>
      <c r="B83" s="30">
        <v>118.40300000000001</v>
      </c>
      <c r="C83" s="9">
        <v>60</v>
      </c>
      <c r="D83" s="9">
        <f t="shared" si="0"/>
        <v>5.508772867823315</v>
      </c>
      <c r="E83" s="28">
        <v>60</v>
      </c>
      <c r="F83" s="28">
        <v>60</v>
      </c>
      <c r="G83" s="28">
        <v>5.5087728680000003</v>
      </c>
      <c r="H83" s="28">
        <v>5.7343183797000004</v>
      </c>
      <c r="I83" s="28" t="s">
        <v>258</v>
      </c>
    </row>
    <row r="84" spans="1:9">
      <c r="A84" s="10">
        <v>44927</v>
      </c>
      <c r="B84" s="30">
        <v>119.00700000000001</v>
      </c>
      <c r="C84" s="9">
        <v>61</v>
      </c>
      <c r="D84" s="9">
        <f t="shared" si="0"/>
        <v>5.5251117258991354</v>
      </c>
      <c r="E84" s="28">
        <v>61</v>
      </c>
      <c r="F84" s="28">
        <v>61</v>
      </c>
      <c r="G84" s="28">
        <v>5.5251117259999996</v>
      </c>
      <c r="H84" s="28">
        <v>5.4925560966999996</v>
      </c>
      <c r="I84" s="28" t="s">
        <v>259</v>
      </c>
    </row>
    <row r="85" spans="1:9">
      <c r="A85" s="10">
        <v>44958</v>
      </c>
      <c r="B85" s="30">
        <v>119.401</v>
      </c>
      <c r="C85" s="9">
        <v>62</v>
      </c>
      <c r="D85" s="9">
        <f t="shared" si="0"/>
        <v>5.2093154402629249</v>
      </c>
      <c r="E85" s="28">
        <v>62</v>
      </c>
      <c r="F85" s="28">
        <v>62</v>
      </c>
      <c r="G85" s="28">
        <v>5.2093154400000001</v>
      </c>
      <c r="H85" s="28">
        <v>5.2507938136999996</v>
      </c>
      <c r="I85" s="28" t="s">
        <v>260</v>
      </c>
    </row>
    <row r="86" spans="1:9">
      <c r="A86" s="16">
        <v>44986</v>
      </c>
      <c r="B86" s="30">
        <v>119.553</v>
      </c>
      <c r="C86" s="14">
        <v>63</v>
      </c>
      <c r="D86" s="14">
        <f t="shared" si="0"/>
        <v>4.4231323533265146</v>
      </c>
      <c r="E86" s="28">
        <v>63</v>
      </c>
      <c r="F86" s="28">
        <v>63</v>
      </c>
      <c r="G86" s="28">
        <v>4.4231323529999997</v>
      </c>
      <c r="H86" s="28">
        <v>4.5600252061999997</v>
      </c>
      <c r="I86" s="28" t="s">
        <v>261</v>
      </c>
    </row>
    <row r="87" spans="1:9">
      <c r="A87" s="10">
        <v>45017</v>
      </c>
      <c r="B87" s="30">
        <v>119.97</v>
      </c>
      <c r="C87" s="9">
        <v>64</v>
      </c>
      <c r="D87" s="9">
        <f t="shared" si="0"/>
        <v>4.4625364621881669</v>
      </c>
      <c r="E87" s="28">
        <v>64</v>
      </c>
      <c r="F87" s="28">
        <v>64</v>
      </c>
      <c r="G87" s="28">
        <v>4.4625364620000001</v>
      </c>
      <c r="H87" s="28">
        <v>4.2300717911000003</v>
      </c>
      <c r="I87" s="28" t="s">
        <v>262</v>
      </c>
    </row>
    <row r="88" spans="1:9">
      <c r="A88" s="10">
        <v>45047</v>
      </c>
      <c r="B88" s="30">
        <v>120.14</v>
      </c>
      <c r="C88" s="9">
        <v>65</v>
      </c>
      <c r="D88" s="9">
        <f t="shared" si="0"/>
        <v>3.9795052881203361</v>
      </c>
      <c r="E88" s="28">
        <v>65</v>
      </c>
      <c r="F88" s="28">
        <v>65</v>
      </c>
      <c r="G88" s="28">
        <v>3.9795052879999999</v>
      </c>
      <c r="H88" s="28">
        <v>3.900118376</v>
      </c>
      <c r="I88" s="28" t="s">
        <v>263</v>
      </c>
    </row>
    <row r="89" spans="1:9">
      <c r="A89" s="10">
        <v>45078</v>
      </c>
      <c r="B89" s="30">
        <v>120.435</v>
      </c>
      <c r="C89" s="9">
        <v>66</v>
      </c>
      <c r="D89" s="9">
        <f t="shared" si="0"/>
        <v>3.2615685366669256</v>
      </c>
      <c r="E89" s="28">
        <v>66</v>
      </c>
      <c r="F89" s="28">
        <v>66</v>
      </c>
      <c r="G89" s="28">
        <v>3.261568537</v>
      </c>
      <c r="H89" s="28">
        <v>3.5701649609000001</v>
      </c>
      <c r="I89" s="28" t="s">
        <v>264</v>
      </c>
    </row>
    <row r="90" spans="1:9">
      <c r="A90" s="10">
        <v>45108</v>
      </c>
      <c r="B90" s="30">
        <v>120.598</v>
      </c>
      <c r="C90" s="9">
        <v>67</v>
      </c>
      <c r="D90" s="9">
        <f t="shared" ref="D90:D100" si="1">100*(B90-B78)/B78</f>
        <v>3.3738492396838669</v>
      </c>
      <c r="E90" s="28">
        <v>67</v>
      </c>
      <c r="F90" s="28">
        <v>67</v>
      </c>
      <c r="G90" s="28">
        <v>3.3738492400000002</v>
      </c>
      <c r="H90" s="28">
        <v>3.2402115457999998</v>
      </c>
      <c r="I90" s="28" t="s">
        <v>265</v>
      </c>
    </row>
    <row r="91" spans="1:9">
      <c r="A91" s="16">
        <v>45139</v>
      </c>
      <c r="B91" s="30">
        <v>120.965</v>
      </c>
      <c r="C91" s="14">
        <v>68</v>
      </c>
      <c r="D91" s="14">
        <f t="shared" si="1"/>
        <v>3.3871215876651752</v>
      </c>
      <c r="E91" s="28">
        <v>68</v>
      </c>
      <c r="F91" s="28">
        <v>68</v>
      </c>
      <c r="G91" s="28">
        <v>3.3871215879999998</v>
      </c>
      <c r="H91" s="28">
        <v>3.4573101756</v>
      </c>
      <c r="I91" s="28" t="s">
        <v>266</v>
      </c>
    </row>
    <row r="92" spans="1:9">
      <c r="A92" s="10">
        <v>45170</v>
      </c>
      <c r="B92" s="30">
        <v>121.387</v>
      </c>
      <c r="C92" s="9">
        <v>69</v>
      </c>
      <c r="D92" s="9">
        <f t="shared" si="1"/>
        <v>3.4163422135512111</v>
      </c>
      <c r="E92" s="28">
        <v>69</v>
      </c>
      <c r="F92" s="28">
        <v>69</v>
      </c>
      <c r="G92" s="28">
        <v>3.4163422140000002</v>
      </c>
      <c r="H92" s="28">
        <v>3.2487815328999998</v>
      </c>
      <c r="I92" s="28" t="s">
        <v>273</v>
      </c>
    </row>
    <row r="93" spans="1:9">
      <c r="A93" s="10">
        <v>45200</v>
      </c>
      <c r="B93" s="30">
        <v>121.42100000000001</v>
      </c>
      <c r="C93" s="9">
        <v>70</v>
      </c>
      <c r="D93" s="9">
        <f t="shared" si="1"/>
        <v>2.9942913369129118</v>
      </c>
      <c r="E93" s="28">
        <v>70</v>
      </c>
      <c r="F93" s="28">
        <v>70</v>
      </c>
      <c r="G93" s="28">
        <v>2.9942913369999999</v>
      </c>
      <c r="H93" s="28">
        <v>3.0402528902000001</v>
      </c>
      <c r="I93" s="28" t="s">
        <v>274</v>
      </c>
    </row>
    <row r="94" spans="1:9">
      <c r="A94" s="10">
        <v>45231</v>
      </c>
      <c r="B94" s="30">
        <v>121.41500000000001</v>
      </c>
      <c r="C94" s="9">
        <v>71</v>
      </c>
      <c r="D94" s="9">
        <f t="shared" si="1"/>
        <v>2.7017196606355913</v>
      </c>
      <c r="E94" s="28">
        <v>71</v>
      </c>
      <c r="F94" s="28">
        <v>71</v>
      </c>
      <c r="G94" s="28">
        <v>2.7017196609999998</v>
      </c>
      <c r="H94" s="28">
        <v>2.8317242475</v>
      </c>
      <c r="I94" s="28" t="s">
        <v>275</v>
      </c>
    </row>
    <row r="95" spans="1:9">
      <c r="A95" s="10">
        <v>45261</v>
      </c>
      <c r="B95" s="30">
        <v>121.602</v>
      </c>
      <c r="C95" s="9">
        <v>72</v>
      </c>
      <c r="D95" s="9">
        <f t="shared" si="1"/>
        <v>2.7017896506000674</v>
      </c>
      <c r="E95" s="28">
        <v>72</v>
      </c>
      <c r="F95" s="28">
        <v>72</v>
      </c>
      <c r="G95" s="28">
        <v>2.7017896509999999</v>
      </c>
      <c r="H95" s="28">
        <v>2.6231956047999998</v>
      </c>
      <c r="I95" s="28" t="s">
        <v>276</v>
      </c>
    </row>
    <row r="96" spans="1:9">
      <c r="A96" s="16">
        <v>45292</v>
      </c>
      <c r="B96" s="30">
        <v>122.11499999999999</v>
      </c>
      <c r="C96" s="14">
        <v>73</v>
      </c>
      <c r="D96" s="14">
        <f t="shared" si="1"/>
        <v>2.6116110817010676</v>
      </c>
      <c r="E96" s="28">
        <v>73</v>
      </c>
      <c r="F96" s="28">
        <v>73</v>
      </c>
      <c r="G96" s="28">
        <v>2.611611082</v>
      </c>
      <c r="H96" s="28">
        <v>2.7738971279000002</v>
      </c>
      <c r="I96" s="28" t="s">
        <v>277</v>
      </c>
    </row>
    <row r="97" spans="1:8">
      <c r="A97" s="10">
        <v>45323</v>
      </c>
      <c r="B97" s="30">
        <v>122.494</v>
      </c>
      <c r="C97" s="9">
        <v>74</v>
      </c>
      <c r="D97" s="9">
        <f t="shared" si="1"/>
        <v>2.5904305659081612</v>
      </c>
      <c r="E97" s="28">
        <v>74</v>
      </c>
      <c r="F97" s="28">
        <v>74</v>
      </c>
      <c r="G97" s="28">
        <v>2.5904305660000002</v>
      </c>
      <c r="H97" s="28">
        <v>2.7072958300000001</v>
      </c>
    </row>
    <row r="98" spans="1:8">
      <c r="A98" s="10">
        <v>45352</v>
      </c>
      <c r="B98" s="30">
        <v>122.91200000000001</v>
      </c>
      <c r="C98" s="9">
        <v>75</v>
      </c>
      <c r="D98" s="9">
        <f t="shared" si="1"/>
        <v>2.8096325479076301</v>
      </c>
      <c r="E98" s="28">
        <v>75</v>
      </c>
      <c r="F98" s="28">
        <v>75</v>
      </c>
      <c r="G98" s="28">
        <v>2.8096325480000002</v>
      </c>
      <c r="H98" s="28">
        <v>2.6406945320999999</v>
      </c>
    </row>
    <row r="99" spans="1:8">
      <c r="A99" s="10">
        <v>45383</v>
      </c>
      <c r="B99" s="30">
        <v>123.23399999999999</v>
      </c>
      <c r="C99" s="9">
        <v>76</v>
      </c>
      <c r="D99" s="9">
        <f t="shared" si="1"/>
        <v>2.720680170042507</v>
      </c>
      <c r="E99" s="28">
        <v>76</v>
      </c>
      <c r="F99" s="28">
        <v>76</v>
      </c>
      <c r="G99" s="28">
        <v>2.7206801700000001</v>
      </c>
      <c r="H99" s="28">
        <v>2.5740932341999998</v>
      </c>
    </row>
    <row r="100" spans="1:8">
      <c r="A100" s="10">
        <v>45413</v>
      </c>
      <c r="B100" s="30">
        <v>123.224</v>
      </c>
      <c r="C100" s="9">
        <v>77</v>
      </c>
      <c r="D100" s="9">
        <f t="shared" si="1"/>
        <v>2.5670051606459157</v>
      </c>
      <c r="E100" s="28">
        <v>77</v>
      </c>
      <c r="F100" s="28">
        <v>77</v>
      </c>
      <c r="G100" s="28">
        <v>2.567005161</v>
      </c>
      <c r="H100" s="28">
        <v>2.5074919363000001</v>
      </c>
    </row>
    <row r="101" spans="1:8">
      <c r="A101" s="10">
        <v>45444</v>
      </c>
      <c r="B101" s="30">
        <v>123.369</v>
      </c>
      <c r="C101" s="9">
        <v>78</v>
      </c>
      <c r="D101" s="9">
        <f>100*(B101-B89)/B89</f>
        <v>2.4361688877817889</v>
      </c>
      <c r="E101" s="28">
        <v>78</v>
      </c>
      <c r="F101" s="28">
        <v>78</v>
      </c>
      <c r="G101" s="28">
        <v>2.4361688880000001</v>
      </c>
      <c r="H101" s="28">
        <v>2.4408906385</v>
      </c>
    </row>
    <row r="102" spans="1:8">
      <c r="A102" s="10">
        <v>45474</v>
      </c>
      <c r="B102" s="30">
        <v>123.571</v>
      </c>
      <c r="C102" s="9">
        <v>79</v>
      </c>
      <c r="D102" s="9">
        <f t="shared" ref="D102" si="2">100*(B102-B90)/B90</f>
        <v>2.4652150118575755</v>
      </c>
      <c r="E102" s="28">
        <v>79</v>
      </c>
      <c r="F102" s="28">
        <v>79</v>
      </c>
      <c r="G102" s="28">
        <v>2.4652150119999998</v>
      </c>
      <c r="H102" s="28">
        <v>2.3742893405999999</v>
      </c>
    </row>
    <row r="103" spans="1:8">
      <c r="A103" s="10">
        <v>45505</v>
      </c>
      <c r="B103" s="30">
        <v>123.71299999999999</v>
      </c>
      <c r="C103" s="9">
        <v>80</v>
      </c>
      <c r="D103" s="9">
        <f>100*(B103-B91)/B91</f>
        <v>2.2717314925804906</v>
      </c>
      <c r="E103" s="28">
        <v>80</v>
      </c>
      <c r="F103" s="28">
        <v>80</v>
      </c>
      <c r="G103" s="28">
        <v>2.2717314929999999</v>
      </c>
      <c r="H103" s="28">
        <v>2.3076880427000002</v>
      </c>
    </row>
    <row r="104" spans="1:8">
      <c r="A104" s="10">
        <v>45536</v>
      </c>
      <c r="B104" s="30">
        <v>123.93</v>
      </c>
      <c r="C104" s="9">
        <v>81</v>
      </c>
      <c r="D104" s="9">
        <f t="shared" ref="D104" si="3">100*(B104-B92)/B92</f>
        <v>2.0949525072701412</v>
      </c>
      <c r="E104" s="28">
        <v>81</v>
      </c>
      <c r="F104" s="28">
        <v>81</v>
      </c>
      <c r="G104" s="28">
        <v>2.0949525069999999</v>
      </c>
      <c r="H104" s="28">
        <v>2.2410867448</v>
      </c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034D-4CBF-46C4-B744-4F414AC34019}">
  <dimension ref="A1:I103"/>
  <sheetViews>
    <sheetView topLeftCell="A86" zoomScale="120" zoomScaleNormal="120" workbookViewId="0">
      <selection activeCell="C23" sqref="C23:H23"/>
    </sheetView>
  </sheetViews>
  <sheetFormatPr defaultRowHeight="13.2"/>
  <cols>
    <col min="1" max="1" width="12.88671875" customWidth="1"/>
    <col min="2" max="2" width="10.44140625" customWidth="1"/>
    <col min="5" max="6" width="3.5546875" bestFit="1" customWidth="1"/>
  </cols>
  <sheetData>
    <row r="1" spans="1:2">
      <c r="A1" s="28" t="s">
        <v>0</v>
      </c>
      <c r="B1" s="28"/>
    </row>
    <row r="2" spans="1:2">
      <c r="A2" s="28" t="s">
        <v>1</v>
      </c>
      <c r="B2" s="28"/>
    </row>
    <row r="3" spans="1:2">
      <c r="A3" s="28" t="s">
        <v>2</v>
      </c>
      <c r="B3" s="28"/>
    </row>
    <row r="4" spans="1:2">
      <c r="A4" s="28" t="s">
        <v>3</v>
      </c>
      <c r="B4" s="28"/>
    </row>
    <row r="5" spans="1:2">
      <c r="A5" s="28" t="s">
        <v>4</v>
      </c>
      <c r="B5" s="28"/>
    </row>
    <row r="6" spans="1:2">
      <c r="A6" s="28" t="s">
        <v>5</v>
      </c>
      <c r="B6" s="28"/>
    </row>
    <row r="8" spans="1:2">
      <c r="A8" s="28" t="s">
        <v>6</v>
      </c>
      <c r="B8" s="28" t="s">
        <v>7</v>
      </c>
    </row>
    <row r="10" spans="1:2">
      <c r="A10" s="28" t="s">
        <v>8</v>
      </c>
      <c r="B10" s="28"/>
    </row>
    <row r="11" spans="1:2">
      <c r="A11" s="28" t="s">
        <v>9</v>
      </c>
      <c r="B11" s="28" t="s">
        <v>6</v>
      </c>
    </row>
    <row r="12" spans="1:2">
      <c r="A12" s="29">
        <v>42736</v>
      </c>
      <c r="B12" s="30">
        <v>99.450999999999993</v>
      </c>
    </row>
    <row r="13" spans="1:2">
      <c r="A13" s="29">
        <v>42767</v>
      </c>
      <c r="B13" s="30">
        <v>99.585999999999999</v>
      </c>
    </row>
    <row r="14" spans="1:2">
      <c r="A14" s="29">
        <v>42795</v>
      </c>
      <c r="B14" s="30">
        <v>99.534999999999997</v>
      </c>
    </row>
    <row r="15" spans="1:2">
      <c r="A15" s="29">
        <v>42826</v>
      </c>
      <c r="B15" s="30">
        <v>99.724999999999994</v>
      </c>
    </row>
    <row r="16" spans="1:2">
      <c r="A16" s="29">
        <v>42856</v>
      </c>
      <c r="B16" s="30">
        <v>99.682000000000002</v>
      </c>
    </row>
    <row r="17" spans="1:9">
      <c r="A17" s="29">
        <v>42887</v>
      </c>
      <c r="B17" s="30">
        <v>99.766000000000005</v>
      </c>
    </row>
    <row r="18" spans="1:9">
      <c r="A18" s="29">
        <v>42917</v>
      </c>
      <c r="B18" s="30">
        <v>99.802999999999997</v>
      </c>
    </row>
    <row r="19" spans="1:9">
      <c r="A19" s="29">
        <v>42948</v>
      </c>
      <c r="B19" s="30">
        <v>100.027</v>
      </c>
    </row>
    <row r="20" spans="1:9">
      <c r="A20" s="29">
        <v>42979</v>
      </c>
      <c r="B20" s="30">
        <v>100.4</v>
      </c>
    </row>
    <row r="21" spans="1:9">
      <c r="A21" s="29">
        <v>43009</v>
      </c>
      <c r="B21" s="30">
        <v>100.53100000000001</v>
      </c>
    </row>
    <row r="22" spans="1:9">
      <c r="A22" s="29">
        <v>43040</v>
      </c>
      <c r="B22" s="30">
        <v>100.675</v>
      </c>
    </row>
    <row r="23" spans="1:9" ht="13.8">
      <c r="A23" s="29">
        <v>43070</v>
      </c>
      <c r="B23" s="30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10">
        <v>43101</v>
      </c>
      <c r="B24" s="30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>
      <c r="A25" s="10">
        <v>43132</v>
      </c>
      <c r="B25" s="30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218</v>
      </c>
    </row>
    <row r="26" spans="1:9">
      <c r="A26" s="10">
        <v>43160</v>
      </c>
      <c r="B26" s="30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10">
        <v>43191</v>
      </c>
      <c r="B27" s="30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10">
        <v>43221</v>
      </c>
      <c r="B28" s="30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16">
        <v>43252</v>
      </c>
      <c r="B29" s="30">
        <v>102.029</v>
      </c>
      <c r="C29" s="14">
        <v>6</v>
      </c>
      <c r="D29" s="14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>
      <c r="A30" s="10">
        <v>43282</v>
      </c>
      <c r="B30" s="30">
        <v>102.137</v>
      </c>
      <c r="C30" s="9">
        <v>7</v>
      </c>
      <c r="D30" s="9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10">
        <v>43313</v>
      </c>
      <c r="B31" s="30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10">
        <v>43344</v>
      </c>
      <c r="B32" s="30">
        <v>102.41800000000001</v>
      </c>
      <c r="C32" s="9">
        <v>9</v>
      </c>
      <c r="D32" s="9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10">
        <v>43374</v>
      </c>
      <c r="B33" s="30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10">
        <v>43405</v>
      </c>
      <c r="B34" s="30">
        <v>102.63</v>
      </c>
      <c r="C34" s="9">
        <v>11</v>
      </c>
      <c r="D34" s="9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10">
        <v>43435</v>
      </c>
      <c r="B35" s="30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16">
        <v>43466</v>
      </c>
      <c r="B36" s="30">
        <v>102.648</v>
      </c>
      <c r="C36" s="14">
        <v>13</v>
      </c>
      <c r="D36" s="14">
        <f t="shared" si="0"/>
        <v>1.4318323303589937</v>
      </c>
      <c r="E36">
        <v>13</v>
      </c>
      <c r="F36">
        <v>13</v>
      </c>
      <c r="G36">
        <v>1.43183233</v>
      </c>
      <c r="H36">
        <v>1.4304196244</v>
      </c>
      <c r="I36" t="s">
        <v>21</v>
      </c>
    </row>
    <row r="37" spans="1:9">
      <c r="A37" s="10">
        <v>43497</v>
      </c>
      <c r="B37" s="30">
        <v>102.836</v>
      </c>
      <c r="C37" s="9">
        <v>14</v>
      </c>
      <c r="D37" s="9">
        <f t="shared" si="0"/>
        <v>1.400173542636272</v>
      </c>
      <c r="E37">
        <v>14</v>
      </c>
      <c r="F37">
        <v>14</v>
      </c>
      <c r="G37">
        <v>1.400173543</v>
      </c>
      <c r="H37">
        <v>1.4537803713999999</v>
      </c>
      <c r="I37" t="s">
        <v>22</v>
      </c>
    </row>
    <row r="38" spans="1:9">
      <c r="A38" s="10">
        <v>43525</v>
      </c>
      <c r="B38" s="30">
        <v>103.069</v>
      </c>
      <c r="C38" s="9">
        <v>15</v>
      </c>
      <c r="D38" s="9">
        <f t="shared" si="0"/>
        <v>1.5218076513927759</v>
      </c>
      <c r="E38">
        <v>15</v>
      </c>
      <c r="F38">
        <v>15</v>
      </c>
      <c r="G38">
        <v>1.521807651</v>
      </c>
      <c r="H38">
        <v>1.4771411184000001</v>
      </c>
      <c r="I38" t="s">
        <v>23</v>
      </c>
    </row>
    <row r="39" spans="1:9">
      <c r="A39" s="10">
        <v>43556</v>
      </c>
      <c r="B39" s="30">
        <v>103.36</v>
      </c>
      <c r="C39" s="9">
        <v>16</v>
      </c>
      <c r="D39" s="9">
        <f t="shared" si="0"/>
        <v>1.5663384627478667</v>
      </c>
      <c r="E39">
        <v>16</v>
      </c>
      <c r="F39">
        <v>16</v>
      </c>
      <c r="G39">
        <v>1.5663384629999999</v>
      </c>
      <c r="H39">
        <v>1.5005018654</v>
      </c>
      <c r="I39" t="s">
        <v>24</v>
      </c>
    </row>
    <row r="40" spans="1:9">
      <c r="A40" s="10">
        <v>43586</v>
      </c>
      <c r="B40" s="30">
        <v>103.435</v>
      </c>
      <c r="C40" s="9">
        <v>17</v>
      </c>
      <c r="D40" s="9">
        <f t="shared" si="0"/>
        <v>1.4655536045359567</v>
      </c>
      <c r="E40">
        <v>17</v>
      </c>
      <c r="F40">
        <v>17</v>
      </c>
      <c r="G40">
        <v>1.465553605</v>
      </c>
      <c r="H40">
        <v>1.5238626124000001</v>
      </c>
      <c r="I40" t="s">
        <v>25</v>
      </c>
    </row>
    <row r="41" spans="1:9">
      <c r="A41" s="16">
        <v>43617</v>
      </c>
      <c r="B41" s="13">
        <v>103.48399999999999</v>
      </c>
      <c r="C41" s="14">
        <v>18</v>
      </c>
      <c r="D41" s="14">
        <f t="shared" si="0"/>
        <v>1.4260651383430185</v>
      </c>
      <c r="E41" s="14">
        <v>18</v>
      </c>
      <c r="F41" s="14">
        <v>18</v>
      </c>
      <c r="G41" s="14">
        <v>1.426065138</v>
      </c>
      <c r="H41" s="14">
        <v>1.4655818102</v>
      </c>
      <c r="I41" t="s">
        <v>26</v>
      </c>
    </row>
    <row r="42" spans="1:9">
      <c r="A42" s="10">
        <v>43647</v>
      </c>
      <c r="B42" s="30">
        <v>103.622</v>
      </c>
      <c r="C42" s="9">
        <v>19</v>
      </c>
      <c r="D42" s="9">
        <f t="shared" si="0"/>
        <v>1.4539295260287648</v>
      </c>
      <c r="E42">
        <v>19</v>
      </c>
      <c r="F42">
        <v>19</v>
      </c>
      <c r="G42">
        <v>1.453929526</v>
      </c>
      <c r="H42">
        <v>1.4210835933999999</v>
      </c>
      <c r="I42" t="s">
        <v>219</v>
      </c>
    </row>
    <row r="43" spans="1:9">
      <c r="A43" s="10">
        <v>43678</v>
      </c>
      <c r="B43" s="30">
        <v>103.67</v>
      </c>
      <c r="C43" s="9">
        <v>20</v>
      </c>
      <c r="D43" s="9">
        <f t="shared" si="0"/>
        <v>1.4304164057608046</v>
      </c>
      <c r="E43">
        <v>20</v>
      </c>
      <c r="F43">
        <v>20</v>
      </c>
      <c r="G43">
        <v>1.430416406</v>
      </c>
      <c r="H43">
        <v>1.3765853766</v>
      </c>
      <c r="I43" t="s">
        <v>220</v>
      </c>
    </row>
    <row r="44" spans="1:9">
      <c r="A44" s="10">
        <v>43709</v>
      </c>
      <c r="B44" s="30">
        <v>103.733</v>
      </c>
      <c r="C44" s="9">
        <v>21</v>
      </c>
      <c r="D44" s="9">
        <f t="shared" si="0"/>
        <v>1.2839539924622603</v>
      </c>
      <c r="E44">
        <v>21</v>
      </c>
      <c r="F44">
        <v>21</v>
      </c>
      <c r="G44">
        <v>1.283953992</v>
      </c>
      <c r="H44">
        <v>1.3320871597999999</v>
      </c>
      <c r="I44" t="s">
        <v>221</v>
      </c>
    </row>
    <row r="45" spans="1:9">
      <c r="A45" s="10">
        <v>43739</v>
      </c>
      <c r="B45" s="30">
        <v>103.917</v>
      </c>
      <c r="C45" s="9">
        <v>22</v>
      </c>
      <c r="D45" s="9">
        <f t="shared" si="0"/>
        <v>1.2885618207515013</v>
      </c>
      <c r="E45">
        <v>22</v>
      </c>
      <c r="F45">
        <v>22</v>
      </c>
      <c r="G45">
        <v>1.2885618210000001</v>
      </c>
      <c r="H45">
        <v>1.287588943</v>
      </c>
      <c r="I45" t="s">
        <v>222</v>
      </c>
    </row>
    <row r="46" spans="1:9">
      <c r="A46" s="16">
        <v>43770</v>
      </c>
      <c r="B46" s="13">
        <v>104.024</v>
      </c>
      <c r="C46" s="14">
        <v>23</v>
      </c>
      <c r="D46" s="14">
        <f t="shared" si="0"/>
        <v>1.3582773068303668</v>
      </c>
      <c r="E46" s="14">
        <v>23</v>
      </c>
      <c r="F46" s="14">
        <v>23</v>
      </c>
      <c r="G46" s="14">
        <v>1.358277307</v>
      </c>
      <c r="H46" s="14">
        <v>1.7312877777</v>
      </c>
      <c r="I46" t="s">
        <v>223</v>
      </c>
    </row>
    <row r="47" spans="1:9">
      <c r="A47" s="10">
        <v>43800</v>
      </c>
      <c r="B47" s="24">
        <v>104.307</v>
      </c>
      <c r="C47" s="9">
        <v>24</v>
      </c>
      <c r="D47" s="9">
        <f t="shared" si="0"/>
        <v>1.5637627676458932</v>
      </c>
      <c r="E47">
        <v>24</v>
      </c>
      <c r="F47">
        <v>24</v>
      </c>
      <c r="G47">
        <v>1.5637627679999999</v>
      </c>
      <c r="H47">
        <v>1.5609958544</v>
      </c>
      <c r="I47" t="s">
        <v>224</v>
      </c>
    </row>
    <row r="48" spans="1:9">
      <c r="A48" s="10">
        <v>43831</v>
      </c>
      <c r="B48" s="30">
        <v>104.419</v>
      </c>
      <c r="C48" s="9">
        <v>25</v>
      </c>
      <c r="D48" s="9">
        <f t="shared" si="0"/>
        <v>1.7253136933988007</v>
      </c>
      <c r="E48">
        <v>25</v>
      </c>
      <c r="F48">
        <v>25</v>
      </c>
      <c r="G48">
        <v>1.7253136929999999</v>
      </c>
      <c r="H48">
        <v>1.3907039311</v>
      </c>
      <c r="I48" t="s">
        <v>225</v>
      </c>
    </row>
    <row r="49" spans="1:9">
      <c r="A49" s="10">
        <v>43862</v>
      </c>
      <c r="B49" s="30">
        <v>104.541</v>
      </c>
      <c r="C49" s="9">
        <v>26</v>
      </c>
      <c r="D49" s="9">
        <f t="shared" si="0"/>
        <v>1.6579796958263626</v>
      </c>
      <c r="E49">
        <v>26</v>
      </c>
      <c r="F49">
        <v>26</v>
      </c>
      <c r="G49">
        <v>1.6579796959999999</v>
      </c>
      <c r="H49">
        <v>1.2204120079</v>
      </c>
      <c r="I49" t="s">
        <v>226</v>
      </c>
    </row>
    <row r="50" spans="1:9">
      <c r="A50" s="10">
        <v>43891</v>
      </c>
      <c r="B50" s="30">
        <v>104.252</v>
      </c>
      <c r="C50" s="9">
        <v>27</v>
      </c>
      <c r="D50" s="9">
        <f t="shared" si="0"/>
        <v>1.1477747916444252</v>
      </c>
      <c r="E50">
        <v>27</v>
      </c>
      <c r="F50">
        <v>27</v>
      </c>
      <c r="G50">
        <v>1.1477747920000001</v>
      </c>
      <c r="H50">
        <v>1.0501200846000001</v>
      </c>
      <c r="I50" t="s">
        <v>227</v>
      </c>
    </row>
    <row r="51" spans="1:9">
      <c r="A51" s="10">
        <v>43922</v>
      </c>
      <c r="B51" s="30">
        <v>103.81699999999999</v>
      </c>
      <c r="C51" s="9">
        <v>28</v>
      </c>
      <c r="D51" s="9">
        <f t="shared" si="0"/>
        <v>0.44214396284829105</v>
      </c>
      <c r="E51">
        <v>28</v>
      </c>
      <c r="F51">
        <v>28</v>
      </c>
      <c r="G51">
        <v>0.44214396299999997</v>
      </c>
      <c r="H51">
        <v>0.87982816139999998</v>
      </c>
      <c r="I51" t="s">
        <v>228</v>
      </c>
    </row>
    <row r="52" spans="1:9">
      <c r="A52" s="10">
        <v>43952</v>
      </c>
      <c r="B52" s="30">
        <v>103.914</v>
      </c>
      <c r="C52" s="9">
        <v>29</v>
      </c>
      <c r="D52" s="9">
        <f t="shared" si="0"/>
        <v>0.46309276357132423</v>
      </c>
      <c r="E52">
        <v>29</v>
      </c>
      <c r="F52">
        <v>29</v>
      </c>
      <c r="G52">
        <v>0.46309276399999999</v>
      </c>
      <c r="H52">
        <v>0.70953623809999999</v>
      </c>
      <c r="I52" t="s">
        <v>229</v>
      </c>
    </row>
    <row r="53" spans="1:9">
      <c r="A53" s="10">
        <v>43983</v>
      </c>
      <c r="B53" s="24">
        <v>104.233</v>
      </c>
      <c r="C53" s="9">
        <v>30</v>
      </c>
      <c r="D53" s="9">
        <f t="shared" si="0"/>
        <v>0.7237833868037663</v>
      </c>
      <c r="E53">
        <v>30</v>
      </c>
      <c r="F53">
        <v>30</v>
      </c>
      <c r="G53">
        <v>0.723783387</v>
      </c>
      <c r="H53">
        <v>0.53924431480000001</v>
      </c>
      <c r="I53" t="s">
        <v>230</v>
      </c>
    </row>
    <row r="54" spans="1:9">
      <c r="A54" s="16">
        <v>44013</v>
      </c>
      <c r="B54" s="13">
        <v>104.56399999999999</v>
      </c>
      <c r="C54" s="14">
        <v>31</v>
      </c>
      <c r="D54" s="14">
        <f t="shared" si="0"/>
        <v>0.90907336279939888</v>
      </c>
      <c r="E54" s="14">
        <v>31</v>
      </c>
      <c r="F54" s="14">
        <v>31</v>
      </c>
      <c r="G54" s="14">
        <v>0.90907336299999997</v>
      </c>
      <c r="H54" s="14">
        <v>0.93293996089999998</v>
      </c>
      <c r="I54" t="s">
        <v>231</v>
      </c>
    </row>
    <row r="55" spans="1:9">
      <c r="A55" s="10">
        <v>44044</v>
      </c>
      <c r="B55" s="30">
        <v>104.887</v>
      </c>
      <c r="C55" s="9">
        <v>32</v>
      </c>
      <c r="D55" s="9">
        <f t="shared" si="0"/>
        <v>1.1739172373878641</v>
      </c>
      <c r="E55">
        <v>32</v>
      </c>
      <c r="F55">
        <v>32</v>
      </c>
      <c r="G55">
        <v>1.1739172369999999</v>
      </c>
      <c r="H55">
        <v>1.0382822183</v>
      </c>
      <c r="I55" t="s">
        <v>232</v>
      </c>
    </row>
    <row r="56" spans="1:9">
      <c r="A56" s="10">
        <v>44075</v>
      </c>
      <c r="B56" s="30">
        <v>105.04600000000001</v>
      </c>
      <c r="C56" s="9">
        <v>33</v>
      </c>
      <c r="D56" s="9">
        <f t="shared" si="0"/>
        <v>1.2657495686040146</v>
      </c>
      <c r="E56">
        <v>33</v>
      </c>
      <c r="F56">
        <v>33</v>
      </c>
      <c r="G56">
        <v>1.265749569</v>
      </c>
      <c r="H56">
        <v>1.1436244756</v>
      </c>
      <c r="I56" t="s">
        <v>233</v>
      </c>
    </row>
    <row r="57" spans="1:9">
      <c r="A57" s="10">
        <v>44105</v>
      </c>
      <c r="B57" s="30">
        <v>105.10599999999999</v>
      </c>
      <c r="C57" s="9">
        <v>34</v>
      </c>
      <c r="D57" s="9">
        <f t="shared" si="0"/>
        <v>1.144182376319556</v>
      </c>
      <c r="E57">
        <v>34</v>
      </c>
      <c r="F57">
        <v>34</v>
      </c>
      <c r="G57">
        <v>1.1441823760000001</v>
      </c>
      <c r="H57">
        <v>1.2489667330000001</v>
      </c>
      <c r="I57" t="s">
        <v>234</v>
      </c>
    </row>
    <row r="58" spans="1:9">
      <c r="A58" s="10">
        <v>44136</v>
      </c>
      <c r="B58" s="24">
        <v>105.22499999999999</v>
      </c>
      <c r="C58" s="9">
        <v>35</v>
      </c>
      <c r="D58" s="9">
        <f t="shared" si="0"/>
        <v>1.1545412597092914</v>
      </c>
      <c r="E58">
        <v>35</v>
      </c>
      <c r="F58">
        <v>35</v>
      </c>
      <c r="G58">
        <v>1.15454126</v>
      </c>
      <c r="H58">
        <v>1.3543089903000001</v>
      </c>
      <c r="I58" t="s">
        <v>109</v>
      </c>
    </row>
    <row r="59" spans="1:9">
      <c r="A59" s="10">
        <v>44166</v>
      </c>
      <c r="B59" s="30">
        <v>105.69</v>
      </c>
      <c r="C59" s="9">
        <v>36</v>
      </c>
      <c r="D59" s="9">
        <f t="shared" si="0"/>
        <v>1.3258937559320041</v>
      </c>
      <c r="E59">
        <v>36</v>
      </c>
      <c r="F59">
        <v>36</v>
      </c>
      <c r="G59">
        <v>1.3258937559999999</v>
      </c>
      <c r="H59">
        <v>1.4596512476000001</v>
      </c>
      <c r="I59" t="s">
        <v>235</v>
      </c>
    </row>
    <row r="60" spans="1:9">
      <c r="A60" s="10">
        <v>44197</v>
      </c>
      <c r="B60" s="30">
        <v>106.083</v>
      </c>
      <c r="C60" s="9">
        <v>37</v>
      </c>
      <c r="D60" s="9">
        <f t="shared" si="0"/>
        <v>1.5935797125044306</v>
      </c>
      <c r="E60">
        <v>37</v>
      </c>
      <c r="F60">
        <v>37</v>
      </c>
      <c r="G60">
        <v>1.593579713</v>
      </c>
      <c r="H60">
        <v>1.5649935049999999</v>
      </c>
      <c r="I60" t="s">
        <v>236</v>
      </c>
    </row>
    <row r="61" spans="1:9">
      <c r="A61" s="10">
        <v>44228</v>
      </c>
      <c r="B61" s="30">
        <v>106.471</v>
      </c>
      <c r="C61" s="9">
        <v>38</v>
      </c>
      <c r="D61" s="9">
        <f t="shared" si="0"/>
        <v>1.846165619230739</v>
      </c>
      <c r="E61">
        <v>38</v>
      </c>
      <c r="F61">
        <v>38</v>
      </c>
      <c r="G61">
        <v>1.846165619</v>
      </c>
      <c r="H61">
        <v>1.6703357622999999</v>
      </c>
      <c r="I61" t="s">
        <v>237</v>
      </c>
    </row>
    <row r="62" spans="1:9">
      <c r="A62" s="16">
        <v>44256</v>
      </c>
      <c r="B62" s="13">
        <v>107.032</v>
      </c>
      <c r="C62" s="14">
        <v>39</v>
      </c>
      <c r="D62" s="14">
        <f t="shared" si="0"/>
        <v>2.6666155085753762</v>
      </c>
      <c r="E62" s="14">
        <v>39</v>
      </c>
      <c r="F62" s="14">
        <v>39</v>
      </c>
      <c r="G62" s="14">
        <v>2.6666155090000001</v>
      </c>
      <c r="H62" s="14">
        <v>2.9906219456000001</v>
      </c>
      <c r="I62" t="s">
        <v>238</v>
      </c>
    </row>
    <row r="63" spans="1:9">
      <c r="A63" s="10">
        <v>44287</v>
      </c>
      <c r="B63" s="24">
        <v>107.63200000000001</v>
      </c>
      <c r="C63" s="9">
        <v>40</v>
      </c>
      <c r="D63" s="9">
        <f t="shared" si="0"/>
        <v>3.6747353516283576</v>
      </c>
      <c r="E63">
        <v>40</v>
      </c>
      <c r="F63">
        <v>40</v>
      </c>
      <c r="G63">
        <v>3.6747353519999999</v>
      </c>
      <c r="H63">
        <v>3.4240644095000001</v>
      </c>
      <c r="I63" t="s">
        <v>110</v>
      </c>
    </row>
    <row r="64" spans="1:9">
      <c r="A64" s="10">
        <v>44317</v>
      </c>
      <c r="B64" s="30">
        <v>108.184</v>
      </c>
      <c r="C64" s="9">
        <v>41</v>
      </c>
      <c r="D64" s="9">
        <f t="shared" si="0"/>
        <v>4.1091671959504934</v>
      </c>
      <c r="E64">
        <v>41</v>
      </c>
      <c r="F64">
        <v>41</v>
      </c>
      <c r="G64">
        <v>4.1091671959999996</v>
      </c>
      <c r="H64">
        <v>3.8575068734000002</v>
      </c>
      <c r="I64" t="s">
        <v>239</v>
      </c>
    </row>
    <row r="65" spans="1:9">
      <c r="A65" s="10">
        <v>44348</v>
      </c>
      <c r="B65" s="30">
        <v>108.748</v>
      </c>
      <c r="C65" s="9">
        <v>42</v>
      </c>
      <c r="D65" s="9">
        <f t="shared" si="0"/>
        <v>4.3316416106223556</v>
      </c>
      <c r="E65">
        <v>42</v>
      </c>
      <c r="F65">
        <v>42</v>
      </c>
      <c r="G65">
        <v>4.3316416110000002</v>
      </c>
      <c r="H65">
        <v>4.2909493372999998</v>
      </c>
      <c r="I65" t="s">
        <v>240</v>
      </c>
    </row>
    <row r="66" spans="1:9">
      <c r="A66" s="10">
        <v>44378</v>
      </c>
      <c r="B66" s="30">
        <v>109.27500000000001</v>
      </c>
      <c r="C66" s="9">
        <v>43</v>
      </c>
      <c r="D66" s="9">
        <f t="shared" si="0"/>
        <v>4.5053746987491037</v>
      </c>
      <c r="E66">
        <v>43</v>
      </c>
      <c r="F66">
        <v>43</v>
      </c>
      <c r="G66">
        <v>4.5053746989999999</v>
      </c>
      <c r="H66">
        <v>4.7243918012000004</v>
      </c>
      <c r="I66" t="s">
        <v>241</v>
      </c>
    </row>
    <row r="67" spans="1:9">
      <c r="A67" s="16">
        <v>44409</v>
      </c>
      <c r="B67" s="13">
        <v>109.72</v>
      </c>
      <c r="C67" s="14">
        <v>44</v>
      </c>
      <c r="D67" s="14">
        <f t="shared" si="0"/>
        <v>4.6078160305852949</v>
      </c>
      <c r="E67" s="14">
        <v>44</v>
      </c>
      <c r="F67" s="14">
        <v>44</v>
      </c>
      <c r="G67" s="14">
        <v>4.6078160309999996</v>
      </c>
      <c r="H67" s="14">
        <v>4.5053705653999998</v>
      </c>
      <c r="I67" t="s">
        <v>242</v>
      </c>
    </row>
    <row r="68" spans="1:9">
      <c r="A68" s="10">
        <v>44440</v>
      </c>
      <c r="B68" s="30">
        <v>110.047</v>
      </c>
      <c r="C68" s="9">
        <v>45</v>
      </c>
      <c r="D68" s="9">
        <f t="shared" si="0"/>
        <v>4.7607714715457901</v>
      </c>
      <c r="E68">
        <v>45</v>
      </c>
      <c r="F68">
        <v>45</v>
      </c>
      <c r="G68">
        <v>4.7607714720000001</v>
      </c>
      <c r="H68">
        <v>4.9409002427999997</v>
      </c>
      <c r="I68" t="s">
        <v>243</v>
      </c>
    </row>
    <row r="69" spans="1:9">
      <c r="A69" s="10">
        <v>44470</v>
      </c>
      <c r="B69" s="24">
        <v>110.741</v>
      </c>
      <c r="C69" s="9">
        <v>46</v>
      </c>
      <c r="D69" s="9">
        <f t="shared" si="0"/>
        <v>5.3612543527486585</v>
      </c>
      <c r="E69">
        <v>46</v>
      </c>
      <c r="F69">
        <v>46</v>
      </c>
      <c r="G69">
        <v>5.3612543529999996</v>
      </c>
      <c r="H69">
        <v>5.3764299201999997</v>
      </c>
      <c r="I69" t="s">
        <v>244</v>
      </c>
    </row>
    <row r="70" spans="1:9">
      <c r="A70" s="10">
        <v>44501</v>
      </c>
      <c r="B70" s="30">
        <v>111.51</v>
      </c>
      <c r="C70" s="9">
        <v>47</v>
      </c>
      <c r="D70" s="9">
        <f t="shared" si="0"/>
        <v>5.9729151817533968</v>
      </c>
      <c r="E70">
        <v>47</v>
      </c>
      <c r="F70">
        <v>47</v>
      </c>
      <c r="G70">
        <v>5.9729151820000004</v>
      </c>
      <c r="H70">
        <v>5.8119595975999996</v>
      </c>
      <c r="I70" t="s">
        <v>245</v>
      </c>
    </row>
    <row r="71" spans="1:9">
      <c r="A71" s="10">
        <v>44531</v>
      </c>
      <c r="B71" s="30">
        <v>112.221</v>
      </c>
      <c r="C71" s="9">
        <v>48</v>
      </c>
      <c r="D71" s="9">
        <f t="shared" si="0"/>
        <v>6.1793925631564068</v>
      </c>
      <c r="E71">
        <v>48</v>
      </c>
      <c r="F71">
        <v>48</v>
      </c>
      <c r="G71">
        <v>6.1793925630000004</v>
      </c>
      <c r="H71">
        <v>6.2474892750000004</v>
      </c>
      <c r="I71" t="s">
        <v>246</v>
      </c>
    </row>
    <row r="72" spans="1:9">
      <c r="A72" s="16">
        <v>44562</v>
      </c>
      <c r="B72" s="13">
        <v>112.776</v>
      </c>
      <c r="C72" s="14">
        <v>49</v>
      </c>
      <c r="D72" s="14">
        <f t="shared" si="0"/>
        <v>6.3092107123667294</v>
      </c>
      <c r="E72" s="14">
        <v>49</v>
      </c>
      <c r="F72" s="14">
        <v>49</v>
      </c>
      <c r="G72" s="14">
        <v>6.3092107119999996</v>
      </c>
      <c r="H72" s="14">
        <v>6.4083166605999997</v>
      </c>
      <c r="I72" t="s">
        <v>247</v>
      </c>
    </row>
    <row r="73" spans="1:9">
      <c r="A73" s="10">
        <v>44593</v>
      </c>
      <c r="B73" s="30">
        <v>113.489</v>
      </c>
      <c r="C73" s="9">
        <v>50</v>
      </c>
      <c r="D73" s="9">
        <f t="shared" si="0"/>
        <v>6.5914662208488703</v>
      </c>
      <c r="E73">
        <v>50</v>
      </c>
      <c r="F73">
        <v>50</v>
      </c>
      <c r="G73">
        <v>6.5914662210000001</v>
      </c>
      <c r="H73">
        <v>6.5529590067000001</v>
      </c>
      <c r="I73" t="s">
        <v>248</v>
      </c>
    </row>
    <row r="74" spans="1:9">
      <c r="A74" s="10">
        <v>44621</v>
      </c>
      <c r="B74" s="30">
        <v>114.489</v>
      </c>
      <c r="C74" s="9">
        <v>51</v>
      </c>
      <c r="D74" s="9">
        <f t="shared" si="0"/>
        <v>6.9670752672098137</v>
      </c>
      <c r="E74">
        <v>51</v>
      </c>
      <c r="F74">
        <v>51</v>
      </c>
      <c r="G74">
        <v>6.9670752670000002</v>
      </c>
      <c r="H74">
        <v>6.6976013527999996</v>
      </c>
      <c r="I74" t="s">
        <v>249</v>
      </c>
    </row>
    <row r="75" spans="1:9">
      <c r="A75" s="10">
        <v>44652</v>
      </c>
      <c r="B75" s="24">
        <v>114.845</v>
      </c>
      <c r="C75" s="9">
        <v>52</v>
      </c>
      <c r="D75" s="9">
        <f t="shared" si="0"/>
        <v>6.7015385758882058</v>
      </c>
      <c r="E75">
        <v>52</v>
      </c>
      <c r="F75">
        <v>52</v>
      </c>
      <c r="G75">
        <v>6.7015385759999999</v>
      </c>
      <c r="H75">
        <v>6.8422436988999999</v>
      </c>
      <c r="I75" t="s">
        <v>250</v>
      </c>
    </row>
    <row r="76" spans="1:9">
      <c r="A76" s="10">
        <v>44682</v>
      </c>
      <c r="B76" s="30">
        <v>115.542</v>
      </c>
      <c r="C76" s="9">
        <v>53</v>
      </c>
      <c r="D76" s="9">
        <f t="shared" si="0"/>
        <v>6.8013754344450232</v>
      </c>
      <c r="E76">
        <v>53</v>
      </c>
      <c r="F76">
        <v>53</v>
      </c>
      <c r="G76">
        <v>6.8013754339999997</v>
      </c>
      <c r="H76">
        <v>6.9868860450000003</v>
      </c>
      <c r="I76" t="s">
        <v>251</v>
      </c>
    </row>
    <row r="77" spans="1:9">
      <c r="A77" s="10">
        <v>44713</v>
      </c>
      <c r="B77" s="30">
        <v>116.631</v>
      </c>
      <c r="C77" s="9">
        <v>54</v>
      </c>
      <c r="D77" s="9">
        <f t="shared" si="0"/>
        <v>7.2488689447162198</v>
      </c>
      <c r="E77">
        <v>54</v>
      </c>
      <c r="F77">
        <v>54</v>
      </c>
      <c r="G77">
        <v>7.2488689449999999</v>
      </c>
      <c r="H77">
        <v>7.1315283909999998</v>
      </c>
      <c r="I77" t="s">
        <v>252</v>
      </c>
    </row>
    <row r="78" spans="1:9">
      <c r="A78" s="16">
        <v>44743</v>
      </c>
      <c r="B78" s="13">
        <v>116.66200000000001</v>
      </c>
      <c r="C78" s="14">
        <v>55</v>
      </c>
      <c r="D78" s="14">
        <f t="shared" si="0"/>
        <v>6.7600091512239766</v>
      </c>
      <c r="E78" s="14">
        <v>55</v>
      </c>
      <c r="F78" s="14">
        <v>55</v>
      </c>
      <c r="G78" s="14">
        <v>6.7600091510000002</v>
      </c>
      <c r="H78" s="14">
        <v>6.9431297947999999</v>
      </c>
      <c r="I78" t="s">
        <v>253</v>
      </c>
    </row>
    <row r="79" spans="1:9">
      <c r="A79" s="10">
        <v>44774</v>
      </c>
      <c r="B79" s="30">
        <v>117.002</v>
      </c>
      <c r="C79" s="9">
        <v>56</v>
      </c>
      <c r="D79" s="9">
        <f t="shared" si="0"/>
        <v>6.6368939117754246</v>
      </c>
      <c r="E79">
        <v>56</v>
      </c>
      <c r="F79">
        <v>56</v>
      </c>
      <c r="G79">
        <v>6.6368939119999997</v>
      </c>
      <c r="H79">
        <v>6.7013675118</v>
      </c>
      <c r="I79" t="s">
        <v>254</v>
      </c>
    </row>
    <row r="80" spans="1:9">
      <c r="A80" s="10">
        <v>44805</v>
      </c>
      <c r="B80" s="30">
        <v>117.377</v>
      </c>
      <c r="C80" s="9">
        <v>57</v>
      </c>
      <c r="D80" s="9">
        <f t="shared" si="0"/>
        <v>6.6607903895608223</v>
      </c>
      <c r="E80">
        <v>57</v>
      </c>
      <c r="F80">
        <v>57</v>
      </c>
      <c r="G80">
        <v>6.6607903899999998</v>
      </c>
      <c r="H80">
        <v>6.4596052288000001</v>
      </c>
      <c r="I80" t="s">
        <v>255</v>
      </c>
    </row>
    <row r="81" spans="1:9">
      <c r="A81" s="10">
        <v>44835</v>
      </c>
      <c r="B81" s="30">
        <v>117.89100000000001</v>
      </c>
      <c r="C81" s="9">
        <v>58</v>
      </c>
      <c r="D81" s="9">
        <f t="shared" si="0"/>
        <v>6.4565066235630937</v>
      </c>
      <c r="E81">
        <v>58</v>
      </c>
      <c r="F81">
        <v>58</v>
      </c>
      <c r="G81">
        <v>6.4565066240000002</v>
      </c>
      <c r="H81">
        <v>6.2178429458000002</v>
      </c>
      <c r="I81" t="s">
        <v>256</v>
      </c>
    </row>
    <row r="82" spans="1:9">
      <c r="A82" s="10">
        <v>44866</v>
      </c>
      <c r="B82" s="30">
        <v>118.221</v>
      </c>
      <c r="C82" s="9">
        <v>59</v>
      </c>
      <c r="D82" s="9">
        <f t="shared" si="0"/>
        <v>6.0182943233790684</v>
      </c>
      <c r="E82">
        <v>59</v>
      </c>
      <c r="F82">
        <v>59</v>
      </c>
      <c r="G82">
        <v>6.0182943230000001</v>
      </c>
      <c r="H82">
        <v>5.9760806627000003</v>
      </c>
      <c r="I82" t="s">
        <v>257</v>
      </c>
    </row>
    <row r="83" spans="1:9">
      <c r="A83" s="10">
        <v>44896</v>
      </c>
      <c r="B83" s="30">
        <v>118.40300000000001</v>
      </c>
      <c r="C83" s="9">
        <v>60</v>
      </c>
      <c r="D83" s="9">
        <f t="shared" si="0"/>
        <v>5.508772867823315</v>
      </c>
      <c r="E83">
        <v>60</v>
      </c>
      <c r="F83">
        <v>60</v>
      </c>
      <c r="G83">
        <v>5.5087728680000003</v>
      </c>
      <c r="H83">
        <v>5.7343183797000004</v>
      </c>
      <c r="I83" t="s">
        <v>258</v>
      </c>
    </row>
    <row r="84" spans="1:9">
      <c r="A84" s="10">
        <v>44927</v>
      </c>
      <c r="B84" s="30">
        <v>119.00700000000001</v>
      </c>
      <c r="C84" s="9">
        <v>61</v>
      </c>
      <c r="D84" s="9">
        <f t="shared" si="0"/>
        <v>5.5251117258991354</v>
      </c>
      <c r="E84">
        <v>61</v>
      </c>
      <c r="F84">
        <v>61</v>
      </c>
      <c r="G84">
        <v>5.5251117259999996</v>
      </c>
      <c r="H84">
        <v>5.4925560966999996</v>
      </c>
      <c r="I84" t="s">
        <v>259</v>
      </c>
    </row>
    <row r="85" spans="1:9">
      <c r="A85" s="10">
        <v>44958</v>
      </c>
      <c r="B85" s="30">
        <v>119.401</v>
      </c>
      <c r="C85" s="9">
        <v>62</v>
      </c>
      <c r="D85" s="9">
        <f t="shared" si="0"/>
        <v>5.2093154402629249</v>
      </c>
      <c r="E85">
        <v>62</v>
      </c>
      <c r="F85">
        <v>62</v>
      </c>
      <c r="G85">
        <v>5.2093154400000001</v>
      </c>
      <c r="H85">
        <v>5.2507938136999996</v>
      </c>
      <c r="I85" t="s">
        <v>260</v>
      </c>
    </row>
    <row r="86" spans="1:9">
      <c r="A86" s="16">
        <v>44986</v>
      </c>
      <c r="B86" s="13">
        <v>119.553</v>
      </c>
      <c r="C86" s="14">
        <v>63</v>
      </c>
      <c r="D86" s="14">
        <f t="shared" si="0"/>
        <v>4.4231323533265146</v>
      </c>
      <c r="E86" s="14">
        <v>63</v>
      </c>
      <c r="F86" s="14">
        <v>63</v>
      </c>
      <c r="G86" s="14">
        <v>4.4231323529999997</v>
      </c>
      <c r="H86" s="14">
        <v>4.5600252061999997</v>
      </c>
      <c r="I86" t="s">
        <v>261</v>
      </c>
    </row>
    <row r="87" spans="1:9">
      <c r="A87" s="10">
        <v>45017</v>
      </c>
      <c r="B87" s="30">
        <v>119.97</v>
      </c>
      <c r="C87" s="9">
        <v>64</v>
      </c>
      <c r="D87" s="9">
        <f t="shared" si="0"/>
        <v>4.4625364621881669</v>
      </c>
      <c r="E87">
        <v>64</v>
      </c>
      <c r="F87">
        <v>64</v>
      </c>
      <c r="G87">
        <v>4.4625364620000001</v>
      </c>
      <c r="H87">
        <v>4.2300717911000003</v>
      </c>
      <c r="I87" t="s">
        <v>262</v>
      </c>
    </row>
    <row r="88" spans="1:9">
      <c r="A88" s="10">
        <v>45047</v>
      </c>
      <c r="B88" s="30">
        <v>120.14</v>
      </c>
      <c r="C88" s="9">
        <v>65</v>
      </c>
      <c r="D88" s="9">
        <f t="shared" si="0"/>
        <v>3.9795052881203361</v>
      </c>
      <c r="E88">
        <v>65</v>
      </c>
      <c r="F88">
        <v>65</v>
      </c>
      <c r="G88">
        <v>3.9795052879999999</v>
      </c>
      <c r="H88">
        <v>3.900118376</v>
      </c>
      <c r="I88" t="s">
        <v>263</v>
      </c>
    </row>
    <row r="89" spans="1:9">
      <c r="A89" s="10">
        <v>45078</v>
      </c>
      <c r="B89" s="30">
        <v>120.435</v>
      </c>
      <c r="C89" s="9">
        <v>66</v>
      </c>
      <c r="D89" s="9">
        <f t="shared" si="0"/>
        <v>3.2615685366669256</v>
      </c>
      <c r="E89">
        <v>66</v>
      </c>
      <c r="F89">
        <v>66</v>
      </c>
      <c r="G89">
        <v>3.261568537</v>
      </c>
      <c r="H89">
        <v>3.5701649609000001</v>
      </c>
      <c r="I89" t="s">
        <v>264</v>
      </c>
    </row>
    <row r="90" spans="1:9">
      <c r="A90" s="10">
        <v>45108</v>
      </c>
      <c r="B90" s="30">
        <v>120.598</v>
      </c>
      <c r="C90" s="9">
        <v>67</v>
      </c>
      <c r="D90" s="9">
        <f t="shared" ref="D90:D100" si="1">100*(B90-B78)/B78</f>
        <v>3.3738492396838669</v>
      </c>
      <c r="E90">
        <v>67</v>
      </c>
      <c r="F90">
        <v>67</v>
      </c>
      <c r="G90">
        <v>3.3738492400000002</v>
      </c>
      <c r="H90">
        <v>3.2402115457999998</v>
      </c>
      <c r="I90" t="s">
        <v>265</v>
      </c>
    </row>
    <row r="91" spans="1:9">
      <c r="A91" s="16">
        <v>45139</v>
      </c>
      <c r="B91" s="13">
        <v>120.965</v>
      </c>
      <c r="C91" s="14">
        <v>68</v>
      </c>
      <c r="D91" s="14">
        <f t="shared" si="1"/>
        <v>3.3871215876651752</v>
      </c>
      <c r="E91" s="14">
        <v>68</v>
      </c>
      <c r="F91" s="14">
        <v>68</v>
      </c>
      <c r="G91" s="14">
        <v>3.3871215879999998</v>
      </c>
      <c r="H91" s="14">
        <v>3.4573101756</v>
      </c>
      <c r="I91" t="s">
        <v>266</v>
      </c>
    </row>
    <row r="92" spans="1:9">
      <c r="A92" s="10">
        <v>45170</v>
      </c>
      <c r="B92" s="30">
        <v>121.387</v>
      </c>
      <c r="C92" s="9">
        <v>69</v>
      </c>
      <c r="D92" s="9">
        <f t="shared" si="1"/>
        <v>3.4163422135512111</v>
      </c>
      <c r="E92">
        <v>69</v>
      </c>
      <c r="F92">
        <v>69</v>
      </c>
      <c r="G92">
        <v>3.4163422140000002</v>
      </c>
      <c r="H92">
        <v>3.2487815328999998</v>
      </c>
      <c r="I92" t="s">
        <v>267</v>
      </c>
    </row>
    <row r="93" spans="1:9">
      <c r="A93" s="10">
        <v>45200</v>
      </c>
      <c r="B93" s="30">
        <v>121.42100000000001</v>
      </c>
      <c r="C93" s="9">
        <v>70</v>
      </c>
      <c r="D93" s="9">
        <f t="shared" si="1"/>
        <v>2.9942913369129118</v>
      </c>
      <c r="E93">
        <v>70</v>
      </c>
      <c r="F93">
        <v>70</v>
      </c>
      <c r="G93">
        <v>2.9942913369999999</v>
      </c>
      <c r="H93">
        <v>3.0402528902000001</v>
      </c>
      <c r="I93" t="s">
        <v>268</v>
      </c>
    </row>
    <row r="94" spans="1:9">
      <c r="A94" s="10">
        <v>45231</v>
      </c>
      <c r="B94" s="30">
        <v>121.41500000000001</v>
      </c>
      <c r="C94" s="9">
        <v>71</v>
      </c>
      <c r="D94" s="9">
        <f t="shared" si="1"/>
        <v>2.7017196606355913</v>
      </c>
      <c r="E94">
        <v>71</v>
      </c>
      <c r="F94">
        <v>71</v>
      </c>
      <c r="G94">
        <v>2.7017196609999998</v>
      </c>
      <c r="H94">
        <v>2.8317242475</v>
      </c>
      <c r="I94" t="s">
        <v>269</v>
      </c>
    </row>
    <row r="95" spans="1:9">
      <c r="A95" s="10">
        <v>45261</v>
      </c>
      <c r="B95" s="30">
        <v>121.602</v>
      </c>
      <c r="C95" s="9">
        <v>72</v>
      </c>
      <c r="D95" s="9">
        <f t="shared" si="1"/>
        <v>2.7017896506000674</v>
      </c>
      <c r="E95">
        <v>72</v>
      </c>
      <c r="F95">
        <v>72</v>
      </c>
      <c r="G95">
        <v>2.7017896509999999</v>
      </c>
      <c r="H95">
        <v>2.6231956047999998</v>
      </c>
      <c r="I95" t="s">
        <v>270</v>
      </c>
    </row>
    <row r="96" spans="1:9">
      <c r="A96" s="16">
        <v>45292</v>
      </c>
      <c r="B96" s="13">
        <v>122.11499999999999</v>
      </c>
      <c r="C96" s="14">
        <v>73</v>
      </c>
      <c r="D96" s="14">
        <f t="shared" si="1"/>
        <v>2.6116110817010676</v>
      </c>
      <c r="E96" s="14">
        <v>73</v>
      </c>
      <c r="F96" s="14">
        <v>73</v>
      </c>
      <c r="G96" s="14">
        <v>2.611611082</v>
      </c>
      <c r="H96" s="14">
        <v>2.7441864484999998</v>
      </c>
      <c r="I96" t="s">
        <v>271</v>
      </c>
    </row>
    <row r="97" spans="1:8">
      <c r="A97" s="10">
        <v>45323</v>
      </c>
      <c r="B97" s="30">
        <v>122.494</v>
      </c>
      <c r="C97" s="9">
        <v>74</v>
      </c>
      <c r="D97" s="9">
        <f t="shared" si="1"/>
        <v>2.5904305659081612</v>
      </c>
      <c r="E97">
        <v>74</v>
      </c>
      <c r="F97">
        <v>74</v>
      </c>
      <c r="G97">
        <v>2.5904305660000002</v>
      </c>
      <c r="H97">
        <v>2.6896384572000001</v>
      </c>
    </row>
    <row r="98" spans="1:8">
      <c r="A98" s="10">
        <v>45352</v>
      </c>
      <c r="B98" s="24">
        <v>122.91200000000001</v>
      </c>
      <c r="C98" s="9">
        <v>75</v>
      </c>
      <c r="D98" s="9">
        <f t="shared" si="1"/>
        <v>2.8096325479076301</v>
      </c>
      <c r="E98">
        <v>75</v>
      </c>
      <c r="F98">
        <v>75</v>
      </c>
      <c r="G98">
        <v>2.8096325480000002</v>
      </c>
      <c r="H98">
        <v>2.6350904658999998</v>
      </c>
    </row>
    <row r="99" spans="1:8">
      <c r="A99" s="10">
        <v>45383</v>
      </c>
      <c r="B99" s="30">
        <v>123.23399999999999</v>
      </c>
      <c r="C99" s="9">
        <v>76</v>
      </c>
      <c r="D99" s="9">
        <f t="shared" si="1"/>
        <v>2.720680170042507</v>
      </c>
      <c r="E99">
        <v>76</v>
      </c>
      <c r="F99">
        <v>76</v>
      </c>
      <c r="G99">
        <v>2.7206801700000001</v>
      </c>
      <c r="H99">
        <v>2.5805424746000001</v>
      </c>
    </row>
    <row r="100" spans="1:8">
      <c r="A100" s="10">
        <v>45413</v>
      </c>
      <c r="B100" s="30">
        <v>123.224</v>
      </c>
      <c r="C100" s="9">
        <v>77</v>
      </c>
      <c r="D100" s="9">
        <f t="shared" si="1"/>
        <v>2.5670051606459157</v>
      </c>
      <c r="E100">
        <v>77</v>
      </c>
      <c r="F100">
        <v>77</v>
      </c>
      <c r="G100">
        <v>2.567005161</v>
      </c>
      <c r="H100">
        <v>2.5259944833999999</v>
      </c>
    </row>
    <row r="101" spans="1:8">
      <c r="A101" s="10">
        <v>45444</v>
      </c>
      <c r="B101" s="30">
        <v>123.369</v>
      </c>
      <c r="C101" s="9">
        <v>78</v>
      </c>
      <c r="D101" s="9">
        <f>100*(B101-B89)/B89</f>
        <v>2.4361688877817889</v>
      </c>
      <c r="E101">
        <v>78</v>
      </c>
      <c r="F101">
        <v>78</v>
      </c>
      <c r="G101">
        <v>2.4361688880000001</v>
      </c>
      <c r="H101">
        <v>2.4714464921000001</v>
      </c>
    </row>
    <row r="102" spans="1:8">
      <c r="A102" s="10">
        <v>45474</v>
      </c>
      <c r="B102" s="30">
        <v>123.55800000000001</v>
      </c>
      <c r="C102" s="9">
        <v>79</v>
      </c>
      <c r="D102" s="9">
        <f t="shared" ref="D102" si="2">100*(B102-B90)/B90</f>
        <v>2.4544353969385959</v>
      </c>
      <c r="E102">
        <v>79</v>
      </c>
      <c r="F102">
        <v>79</v>
      </c>
      <c r="G102">
        <v>2.4544353970000001</v>
      </c>
      <c r="H102">
        <v>2.4168985007999999</v>
      </c>
    </row>
    <row r="103" spans="1:8">
      <c r="A103" s="10">
        <v>45505</v>
      </c>
      <c r="B103" s="30">
        <v>123.67</v>
      </c>
      <c r="C103" s="9">
        <v>80</v>
      </c>
      <c r="D103" s="9">
        <f>100*(B103-B91)/B91</f>
        <v>2.2361840201711223</v>
      </c>
      <c r="E103">
        <v>80</v>
      </c>
      <c r="F103">
        <v>80</v>
      </c>
      <c r="G103">
        <v>2.2361840200000001</v>
      </c>
      <c r="H103">
        <v>2.3623505095000001</v>
      </c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70EF-DFA7-4D19-A425-42AB788B2ED5}">
  <dimension ref="A1:I102"/>
  <sheetViews>
    <sheetView topLeftCell="A85" workbookViewId="0">
      <selection activeCell="C23" sqref="C23:H23"/>
    </sheetView>
  </sheetViews>
  <sheetFormatPr defaultRowHeight="13.2"/>
  <cols>
    <col min="1" max="1" width="11.6640625" customWidth="1"/>
    <col min="5" max="6" width="3.5546875" bestFit="1" customWidth="1"/>
  </cols>
  <sheetData>
    <row r="1" spans="1:2">
      <c r="A1" s="25" t="s">
        <v>0</v>
      </c>
      <c r="B1" s="25"/>
    </row>
    <row r="2" spans="1:2">
      <c r="A2" s="25" t="s">
        <v>1</v>
      </c>
      <c r="B2" s="25"/>
    </row>
    <row r="3" spans="1:2">
      <c r="A3" s="25" t="s">
        <v>2</v>
      </c>
      <c r="B3" s="25"/>
    </row>
    <row r="4" spans="1:2">
      <c r="A4" s="25" t="s">
        <v>3</v>
      </c>
      <c r="B4" s="25"/>
    </row>
    <row r="5" spans="1:2">
      <c r="A5" s="25" t="s">
        <v>4</v>
      </c>
      <c r="B5" s="25"/>
    </row>
    <row r="6" spans="1:2">
      <c r="A6" s="25" t="s">
        <v>5</v>
      </c>
      <c r="B6" s="25"/>
    </row>
    <row r="8" spans="1:2">
      <c r="A8" s="25" t="s">
        <v>6</v>
      </c>
      <c r="B8" s="25" t="s">
        <v>7</v>
      </c>
    </row>
    <row r="10" spans="1:2">
      <c r="A10" s="25" t="s">
        <v>8</v>
      </c>
      <c r="B10" s="25"/>
    </row>
    <row r="11" spans="1:2">
      <c r="A11" s="25" t="s">
        <v>9</v>
      </c>
      <c r="B11" s="25" t="s">
        <v>6</v>
      </c>
    </row>
    <row r="12" spans="1:2">
      <c r="A12" s="26">
        <v>42736</v>
      </c>
      <c r="B12" s="27">
        <v>99.450999999999993</v>
      </c>
    </row>
    <row r="13" spans="1:2">
      <c r="A13" s="26">
        <v>42767</v>
      </c>
      <c r="B13" s="27">
        <v>99.585999999999999</v>
      </c>
    </row>
    <row r="14" spans="1:2">
      <c r="A14" s="26">
        <v>42795</v>
      </c>
      <c r="B14" s="27">
        <v>99.534999999999997</v>
      </c>
    </row>
    <row r="15" spans="1:2">
      <c r="A15" s="26">
        <v>42826</v>
      </c>
      <c r="B15" s="27">
        <v>99.724999999999994</v>
      </c>
    </row>
    <row r="16" spans="1:2">
      <c r="A16" s="26">
        <v>42856</v>
      </c>
      <c r="B16" s="27">
        <v>99.682000000000002</v>
      </c>
    </row>
    <row r="17" spans="1:9">
      <c r="A17" s="26">
        <v>42887</v>
      </c>
      <c r="B17" s="27">
        <v>99.766000000000005</v>
      </c>
    </row>
    <row r="18" spans="1:9">
      <c r="A18" s="26">
        <v>42917</v>
      </c>
      <c r="B18" s="27">
        <v>99.802999999999997</v>
      </c>
    </row>
    <row r="19" spans="1:9">
      <c r="A19" s="26">
        <v>42948</v>
      </c>
      <c r="B19" s="27">
        <v>100.027</v>
      </c>
    </row>
    <row r="20" spans="1:9">
      <c r="A20" s="26">
        <v>42979</v>
      </c>
      <c r="B20" s="27">
        <v>100.4</v>
      </c>
    </row>
    <row r="21" spans="1:9">
      <c r="A21" s="26">
        <v>43009</v>
      </c>
      <c r="B21" s="27">
        <v>100.53100000000001</v>
      </c>
    </row>
    <row r="22" spans="1:9">
      <c r="A22" s="26">
        <v>43040</v>
      </c>
      <c r="B22" s="27">
        <v>100.675</v>
      </c>
    </row>
    <row r="23" spans="1:9" ht="13.8">
      <c r="A23" s="26">
        <v>43070</v>
      </c>
      <c r="B23" s="27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10">
        <v>43101</v>
      </c>
      <c r="B24" s="27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>
      <c r="A25" s="10">
        <v>43132</v>
      </c>
      <c r="B25" s="27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209</v>
      </c>
    </row>
    <row r="26" spans="1:9">
      <c r="A26" s="10">
        <v>43160</v>
      </c>
      <c r="B26" s="27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10">
        <v>43191</v>
      </c>
      <c r="B27" s="27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10">
        <v>43221</v>
      </c>
      <c r="B28" s="27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16">
        <v>43252</v>
      </c>
      <c r="B29" s="13">
        <v>102.029</v>
      </c>
      <c r="C29" s="14">
        <v>6</v>
      </c>
      <c r="D29" s="14">
        <f t="shared" si="0"/>
        <v>2.2683078403464014</v>
      </c>
      <c r="E29" s="14">
        <v>6</v>
      </c>
      <c r="F29" s="14">
        <v>6</v>
      </c>
      <c r="G29" s="14">
        <v>2.2683078399999999</v>
      </c>
      <c r="H29" s="14">
        <v>2.3222375461999998</v>
      </c>
      <c r="I29" t="s">
        <v>15</v>
      </c>
    </row>
    <row r="30" spans="1:9">
      <c r="A30" s="10">
        <v>43282</v>
      </c>
      <c r="B30" s="24">
        <v>102.137</v>
      </c>
      <c r="C30" s="9">
        <v>7</v>
      </c>
      <c r="D30" s="9">
        <f t="shared" si="0"/>
        <v>2.3386070559001264</v>
      </c>
      <c r="E30" s="9">
        <v>7</v>
      </c>
      <c r="F30" s="9">
        <v>7</v>
      </c>
      <c r="G30" s="9">
        <v>2.3386070559999999</v>
      </c>
      <c r="H30" s="9">
        <v>2.2461091979000001</v>
      </c>
      <c r="I30" t="s">
        <v>16</v>
      </c>
    </row>
    <row r="31" spans="1:9">
      <c r="A31" s="10">
        <v>43313</v>
      </c>
      <c r="B31" s="27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10">
        <v>43344</v>
      </c>
      <c r="B32" s="27">
        <v>102.41800000000001</v>
      </c>
      <c r="C32" s="9">
        <v>9</v>
      </c>
      <c r="D32" s="9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10">
        <v>43374</v>
      </c>
      <c r="B33" s="27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10">
        <v>43405</v>
      </c>
      <c r="B34" s="27">
        <v>102.63</v>
      </c>
      <c r="C34" s="9">
        <v>11</v>
      </c>
      <c r="D34" s="9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10">
        <v>43435</v>
      </c>
      <c r="B35" s="27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16">
        <v>43466</v>
      </c>
      <c r="B36" s="13">
        <v>102.714</v>
      </c>
      <c r="C36" s="14">
        <v>13</v>
      </c>
      <c r="D36" s="14">
        <f t="shared" si="0"/>
        <v>1.4970503661103376</v>
      </c>
      <c r="E36" s="14">
        <v>13</v>
      </c>
      <c r="F36" s="14">
        <v>13</v>
      </c>
      <c r="G36" s="14">
        <v>1.4970503660000001</v>
      </c>
      <c r="H36" s="14">
        <v>1.5253491168</v>
      </c>
      <c r="I36" t="s">
        <v>21</v>
      </c>
    </row>
    <row r="37" spans="1:9">
      <c r="A37" s="10">
        <v>43497</v>
      </c>
      <c r="B37" s="27">
        <v>102.86199999999999</v>
      </c>
      <c r="C37" s="9">
        <v>14</v>
      </c>
      <c r="D37" s="9">
        <f t="shared" si="0"/>
        <v>1.4258105229943974</v>
      </c>
      <c r="E37">
        <v>14</v>
      </c>
      <c r="F37">
        <v>14</v>
      </c>
      <c r="G37">
        <v>1.425810523</v>
      </c>
      <c r="H37">
        <v>1.5058576435</v>
      </c>
      <c r="I37" t="s">
        <v>22</v>
      </c>
    </row>
    <row r="38" spans="1:9">
      <c r="A38" s="10">
        <v>43525</v>
      </c>
      <c r="B38" s="27">
        <v>103.056</v>
      </c>
      <c r="C38" s="9">
        <v>15</v>
      </c>
      <c r="D38" s="9">
        <f t="shared" si="0"/>
        <v>1.5090027973681066</v>
      </c>
      <c r="E38">
        <v>15</v>
      </c>
      <c r="F38">
        <v>15</v>
      </c>
      <c r="G38">
        <v>1.509002797</v>
      </c>
      <c r="H38">
        <v>1.4863661703</v>
      </c>
      <c r="I38" t="s">
        <v>23</v>
      </c>
    </row>
    <row r="39" spans="1:9">
      <c r="A39" s="10">
        <v>43556</v>
      </c>
      <c r="B39" s="27">
        <v>103.371</v>
      </c>
      <c r="C39" s="9">
        <v>16</v>
      </c>
      <c r="D39" s="9">
        <f t="shared" si="0"/>
        <v>1.5771475738458716</v>
      </c>
      <c r="E39">
        <v>16</v>
      </c>
      <c r="F39">
        <v>16</v>
      </c>
      <c r="G39">
        <v>1.5771475740000001</v>
      </c>
      <c r="H39">
        <v>1.4668746969999999</v>
      </c>
      <c r="I39" t="s">
        <v>24</v>
      </c>
    </row>
    <row r="40" spans="1:9">
      <c r="A40" s="10">
        <v>43586</v>
      </c>
      <c r="B40" s="27">
        <v>103.426</v>
      </c>
      <c r="C40" s="9">
        <v>17</v>
      </c>
      <c r="D40" s="9">
        <f t="shared" si="0"/>
        <v>1.4567249683640531</v>
      </c>
      <c r="E40">
        <v>17</v>
      </c>
      <c r="F40">
        <v>17</v>
      </c>
      <c r="G40">
        <v>1.4567249680000001</v>
      </c>
      <c r="H40">
        <v>1.4473832236999999</v>
      </c>
      <c r="I40" t="s">
        <v>25</v>
      </c>
    </row>
    <row r="41" spans="1:9">
      <c r="A41" s="10">
        <v>43617</v>
      </c>
      <c r="B41" s="27">
        <v>103.46899999999999</v>
      </c>
      <c r="C41" s="9">
        <v>18</v>
      </c>
      <c r="D41" s="9">
        <f t="shared" si="0"/>
        <v>1.4113634358858733</v>
      </c>
      <c r="E41">
        <v>18</v>
      </c>
      <c r="F41">
        <v>18</v>
      </c>
      <c r="G41">
        <v>1.411363436</v>
      </c>
      <c r="H41">
        <v>1.4278917504999999</v>
      </c>
      <c r="I41" t="s">
        <v>26</v>
      </c>
    </row>
    <row r="42" spans="1:9">
      <c r="A42" s="10">
        <v>43647</v>
      </c>
      <c r="B42" s="27">
        <v>103.608</v>
      </c>
      <c r="C42" s="9">
        <v>19</v>
      </c>
      <c r="D42" s="9">
        <f t="shared" si="0"/>
        <v>1.4402224463221003</v>
      </c>
      <c r="E42">
        <v>19</v>
      </c>
      <c r="F42">
        <v>19</v>
      </c>
      <c r="G42">
        <v>1.4402224459999999</v>
      </c>
      <c r="H42">
        <v>1.4084002771999999</v>
      </c>
      <c r="I42" t="s">
        <v>27</v>
      </c>
    </row>
    <row r="43" spans="1:9">
      <c r="A43" s="10">
        <v>43678</v>
      </c>
      <c r="B43" s="27">
        <v>103.661</v>
      </c>
      <c r="C43" s="9">
        <v>20</v>
      </c>
      <c r="D43" s="9">
        <f t="shared" si="0"/>
        <v>1.4216108328115244</v>
      </c>
      <c r="E43">
        <v>20</v>
      </c>
      <c r="F43">
        <v>20</v>
      </c>
      <c r="G43">
        <v>1.4216108329999999</v>
      </c>
      <c r="H43">
        <v>1.3889088038999999</v>
      </c>
      <c r="I43" t="s">
        <v>28</v>
      </c>
    </row>
    <row r="44" spans="1:9">
      <c r="A44" s="10">
        <v>43709</v>
      </c>
      <c r="B44" s="27">
        <v>103.754</v>
      </c>
      <c r="C44" s="9">
        <v>21</v>
      </c>
      <c r="D44" s="9">
        <f t="shared" si="0"/>
        <v>1.3044582007069054</v>
      </c>
      <c r="E44">
        <v>21</v>
      </c>
      <c r="F44">
        <v>21</v>
      </c>
      <c r="G44">
        <v>1.3044582010000001</v>
      </c>
      <c r="H44">
        <v>1.3694173305999999</v>
      </c>
      <c r="I44" t="s">
        <v>29</v>
      </c>
    </row>
    <row r="45" spans="1:9">
      <c r="A45" s="10">
        <v>43739</v>
      </c>
      <c r="B45" s="27">
        <v>103.961</v>
      </c>
      <c r="C45" s="9">
        <v>22</v>
      </c>
      <c r="D45" s="9">
        <f t="shared" si="0"/>
        <v>1.3314489010185679</v>
      </c>
      <c r="E45">
        <v>22</v>
      </c>
      <c r="F45">
        <v>22</v>
      </c>
      <c r="G45">
        <v>1.3314489009999999</v>
      </c>
      <c r="H45">
        <v>1.3499258573999999</v>
      </c>
      <c r="I45" t="s">
        <v>30</v>
      </c>
    </row>
    <row r="46" spans="1:9">
      <c r="A46" s="10">
        <v>43770</v>
      </c>
      <c r="B46" s="27">
        <v>103.997</v>
      </c>
      <c r="C46" s="9">
        <v>23</v>
      </c>
      <c r="D46" s="9">
        <f t="shared" si="0"/>
        <v>1.3319692097827189</v>
      </c>
      <c r="E46">
        <v>23</v>
      </c>
      <c r="F46">
        <v>23</v>
      </c>
      <c r="G46">
        <v>1.33196921</v>
      </c>
      <c r="H46">
        <v>1.3304343840999999</v>
      </c>
      <c r="I46" t="s">
        <v>31</v>
      </c>
    </row>
    <row r="47" spans="1:9">
      <c r="A47" s="16">
        <v>43800</v>
      </c>
      <c r="B47" s="13">
        <v>104.282</v>
      </c>
      <c r="C47" s="14">
        <v>24</v>
      </c>
      <c r="D47" s="14">
        <f t="shared" si="0"/>
        <v>1.5394202588095571</v>
      </c>
      <c r="E47" s="14">
        <v>24</v>
      </c>
      <c r="F47" s="14">
        <v>24</v>
      </c>
      <c r="G47" s="14">
        <v>1.5394202589999999</v>
      </c>
      <c r="H47" s="14">
        <v>1.8483446670999999</v>
      </c>
      <c r="I47" t="s">
        <v>32</v>
      </c>
    </row>
    <row r="48" spans="1:9">
      <c r="A48" s="10">
        <v>43831</v>
      </c>
      <c r="B48" s="27">
        <v>104.458</v>
      </c>
      <c r="C48" s="9">
        <v>25</v>
      </c>
      <c r="D48" s="9">
        <f t="shared" si="0"/>
        <v>1.6979184921237609</v>
      </c>
      <c r="E48">
        <v>25</v>
      </c>
      <c r="F48">
        <v>25</v>
      </c>
      <c r="G48">
        <v>1.6979184919999999</v>
      </c>
      <c r="H48">
        <v>1.5680777449000001</v>
      </c>
      <c r="I48" t="s">
        <v>33</v>
      </c>
    </row>
    <row r="49" spans="1:9">
      <c r="A49" s="10">
        <v>43862</v>
      </c>
      <c r="B49" s="27">
        <v>104.551</v>
      </c>
      <c r="C49" s="9">
        <v>26</v>
      </c>
      <c r="D49" s="9">
        <f t="shared" si="0"/>
        <v>1.6420057941708379</v>
      </c>
      <c r="E49">
        <v>26</v>
      </c>
      <c r="F49">
        <v>26</v>
      </c>
      <c r="G49">
        <v>1.6420057939999999</v>
      </c>
      <c r="H49">
        <v>1.2878108226</v>
      </c>
      <c r="I49" t="s">
        <v>34</v>
      </c>
    </row>
    <row r="50" spans="1:9">
      <c r="A50" s="10">
        <v>43891</v>
      </c>
      <c r="B50" s="27">
        <v>104.238</v>
      </c>
      <c r="C50" s="9">
        <v>27</v>
      </c>
      <c r="D50" s="9">
        <f t="shared" si="0"/>
        <v>1.1469492314857963</v>
      </c>
      <c r="E50">
        <v>27</v>
      </c>
      <c r="F50">
        <v>27</v>
      </c>
      <c r="G50">
        <v>1.146949231</v>
      </c>
      <c r="H50">
        <v>1.0075439004</v>
      </c>
      <c r="I50" t="s">
        <v>35</v>
      </c>
    </row>
    <row r="51" spans="1:9">
      <c r="A51" s="10">
        <v>43922</v>
      </c>
      <c r="B51" s="27">
        <v>103.79600000000001</v>
      </c>
      <c r="C51" s="9">
        <v>28</v>
      </c>
      <c r="D51" s="9">
        <f t="shared" si="0"/>
        <v>0.41114045525341864</v>
      </c>
      <c r="E51">
        <v>28</v>
      </c>
      <c r="F51">
        <v>28</v>
      </c>
      <c r="G51">
        <v>0.41114045500000002</v>
      </c>
      <c r="H51">
        <v>0.72727697810000003</v>
      </c>
      <c r="I51" t="s">
        <v>36</v>
      </c>
    </row>
    <row r="52" spans="1:9">
      <c r="A52" s="10">
        <v>43952</v>
      </c>
      <c r="B52" s="27">
        <v>103.89</v>
      </c>
      <c r="C52" s="9">
        <v>29</v>
      </c>
      <c r="D52" s="9">
        <f t="shared" si="0"/>
        <v>0.44862993831338216</v>
      </c>
      <c r="E52">
        <v>29</v>
      </c>
      <c r="F52">
        <v>29</v>
      </c>
      <c r="G52">
        <v>0.44862993800000001</v>
      </c>
      <c r="H52">
        <v>0.44701005589999998</v>
      </c>
      <c r="I52" t="s">
        <v>37</v>
      </c>
    </row>
    <row r="53" spans="1:9">
      <c r="A53" s="16">
        <v>43983</v>
      </c>
      <c r="B53" s="13">
        <v>104.199</v>
      </c>
      <c r="C53" s="14">
        <v>30</v>
      </c>
      <c r="D53" s="14">
        <f t="shared" si="0"/>
        <v>0.70552532642627652</v>
      </c>
      <c r="E53" s="14">
        <v>30</v>
      </c>
      <c r="F53" s="14">
        <v>30</v>
      </c>
      <c r="G53" s="14">
        <v>0.70552532599999995</v>
      </c>
      <c r="H53" s="14">
        <v>0.79284869540000003</v>
      </c>
      <c r="I53" t="s">
        <v>38</v>
      </c>
    </row>
    <row r="54" spans="1:9">
      <c r="A54" s="10">
        <v>44013</v>
      </c>
      <c r="B54" s="27">
        <v>104.541</v>
      </c>
      <c r="C54" s="9">
        <v>31</v>
      </c>
      <c r="D54" s="9">
        <f t="shared" si="0"/>
        <v>0.90050961315727807</v>
      </c>
      <c r="E54">
        <v>31</v>
      </c>
      <c r="F54">
        <v>31</v>
      </c>
      <c r="G54">
        <v>0.90050961299999999</v>
      </c>
      <c r="H54">
        <v>0.91014849990000002</v>
      </c>
      <c r="I54" t="s">
        <v>39</v>
      </c>
    </row>
    <row r="55" spans="1:9">
      <c r="A55" s="10">
        <v>44044</v>
      </c>
      <c r="B55" s="27">
        <v>104.869</v>
      </c>
      <c r="C55" s="9">
        <v>32</v>
      </c>
      <c r="D55" s="9">
        <f t="shared" si="0"/>
        <v>1.1653370119910076</v>
      </c>
      <c r="E55">
        <v>32</v>
      </c>
      <c r="F55">
        <v>32</v>
      </c>
      <c r="G55">
        <v>1.1653370119999999</v>
      </c>
      <c r="H55">
        <v>1.0274483044</v>
      </c>
      <c r="I55" t="s">
        <v>40</v>
      </c>
    </row>
    <row r="56" spans="1:9">
      <c r="A56" s="10">
        <v>44075</v>
      </c>
      <c r="B56" s="27">
        <v>105.048</v>
      </c>
      <c r="C56" s="9">
        <v>33</v>
      </c>
      <c r="D56" s="9">
        <f t="shared" si="0"/>
        <v>1.2471808315823938</v>
      </c>
      <c r="E56">
        <v>33</v>
      </c>
      <c r="F56">
        <v>33</v>
      </c>
      <c r="G56">
        <v>1.247180832</v>
      </c>
      <c r="H56">
        <v>1.1447481089</v>
      </c>
      <c r="I56" t="s">
        <v>41</v>
      </c>
    </row>
    <row r="57" spans="1:9">
      <c r="A57" s="10">
        <v>44105</v>
      </c>
      <c r="B57" s="27">
        <v>105.124</v>
      </c>
      <c r="C57" s="9">
        <v>34</v>
      </c>
      <c r="D57" s="9">
        <f t="shared" si="0"/>
        <v>1.11868873904637</v>
      </c>
      <c r="E57">
        <v>34</v>
      </c>
      <c r="F57">
        <v>34</v>
      </c>
      <c r="G57">
        <v>1.118688739</v>
      </c>
      <c r="H57">
        <v>1.2620479134</v>
      </c>
      <c r="I57" t="s">
        <v>42</v>
      </c>
    </row>
    <row r="58" spans="1:9">
      <c r="A58" s="16">
        <v>44136</v>
      </c>
      <c r="B58" s="13">
        <v>105.197</v>
      </c>
      <c r="C58" s="14">
        <v>35</v>
      </c>
      <c r="D58" s="14">
        <f t="shared" si="0"/>
        <v>1.1538794388299689</v>
      </c>
      <c r="E58" s="14">
        <v>35</v>
      </c>
      <c r="F58" s="14">
        <v>35</v>
      </c>
      <c r="G58" s="14">
        <v>1.153879439</v>
      </c>
      <c r="H58" s="14">
        <v>1.0193186811999999</v>
      </c>
      <c r="I58" t="s">
        <v>43</v>
      </c>
    </row>
    <row r="59" spans="1:9">
      <c r="A59" s="10">
        <v>44166</v>
      </c>
      <c r="B59" s="27">
        <v>105.70699999999999</v>
      </c>
      <c r="C59" s="9">
        <v>36</v>
      </c>
      <c r="D59" s="9">
        <f t="shared" si="0"/>
        <v>1.3664870255652914</v>
      </c>
      <c r="E59">
        <v>36</v>
      </c>
      <c r="F59">
        <v>36</v>
      </c>
      <c r="G59">
        <v>1.3664870259999999</v>
      </c>
      <c r="H59">
        <v>1.3830189502000001</v>
      </c>
      <c r="I59" t="s">
        <v>44</v>
      </c>
    </row>
    <row r="60" spans="1:9">
      <c r="A60" s="10">
        <v>44197</v>
      </c>
      <c r="B60" s="27">
        <v>106.145</v>
      </c>
      <c r="C60" s="9">
        <v>37</v>
      </c>
      <c r="D60" s="9">
        <f t="shared" si="0"/>
        <v>1.6150031591644467</v>
      </c>
      <c r="E60">
        <v>37</v>
      </c>
      <c r="F60">
        <v>37</v>
      </c>
      <c r="G60">
        <v>1.615003159</v>
      </c>
      <c r="H60">
        <v>1.7467192192000001</v>
      </c>
      <c r="I60" t="s">
        <v>45</v>
      </c>
    </row>
    <row r="61" spans="1:9">
      <c r="A61" s="10">
        <v>44228</v>
      </c>
      <c r="B61" s="27">
        <v>106.52200000000001</v>
      </c>
      <c r="C61" s="9">
        <v>38</v>
      </c>
      <c r="D61" s="9">
        <f t="shared" si="0"/>
        <v>1.8852043500301323</v>
      </c>
      <c r="E61">
        <v>38</v>
      </c>
      <c r="F61">
        <v>38</v>
      </c>
      <c r="G61">
        <v>1.88520435</v>
      </c>
      <c r="H61">
        <v>2.1104194881999998</v>
      </c>
      <c r="I61" t="s">
        <v>46</v>
      </c>
    </row>
    <row r="62" spans="1:9">
      <c r="A62" s="10">
        <v>44256</v>
      </c>
      <c r="B62" s="27">
        <v>107.066</v>
      </c>
      <c r="C62" s="9">
        <v>39</v>
      </c>
      <c r="D62" s="9">
        <f t="shared" si="0"/>
        <v>2.7130221224505489</v>
      </c>
      <c r="E62">
        <v>39</v>
      </c>
      <c r="F62">
        <v>39</v>
      </c>
      <c r="G62">
        <v>2.7130221219999999</v>
      </c>
      <c r="H62">
        <v>2.4741197572</v>
      </c>
      <c r="I62" t="s">
        <v>47</v>
      </c>
    </row>
    <row r="63" spans="1:9">
      <c r="A63" s="16">
        <v>44287</v>
      </c>
      <c r="B63" s="13">
        <v>107.66200000000001</v>
      </c>
      <c r="C63" s="14">
        <v>40</v>
      </c>
      <c r="D63" s="14">
        <f t="shared" si="0"/>
        <v>3.7246136652664839</v>
      </c>
      <c r="E63" s="14">
        <v>40</v>
      </c>
      <c r="F63" s="14">
        <v>40</v>
      </c>
      <c r="G63" s="14">
        <v>3.7246136650000001</v>
      </c>
      <c r="H63" s="14">
        <v>3.8702564268000001</v>
      </c>
      <c r="I63" t="s">
        <v>48</v>
      </c>
    </row>
    <row r="64" spans="1:9">
      <c r="A64" s="10">
        <v>44317</v>
      </c>
      <c r="B64" s="27">
        <v>108.20699999999999</v>
      </c>
      <c r="C64" s="9">
        <v>41</v>
      </c>
      <c r="D64" s="9">
        <f t="shared" si="0"/>
        <v>4.1553566272018418</v>
      </c>
      <c r="E64">
        <v>41</v>
      </c>
      <c r="F64">
        <v>41</v>
      </c>
      <c r="G64">
        <v>4.1553566269999997</v>
      </c>
      <c r="H64">
        <v>4.0712063672000003</v>
      </c>
      <c r="I64" t="s">
        <v>49</v>
      </c>
    </row>
    <row r="65" spans="1:9">
      <c r="A65" s="10">
        <v>44348</v>
      </c>
      <c r="B65" s="27">
        <v>108.755</v>
      </c>
      <c r="C65" s="9">
        <v>42</v>
      </c>
      <c r="D65" s="9">
        <f t="shared" si="0"/>
        <v>4.3724028061689628</v>
      </c>
      <c r="E65">
        <v>42</v>
      </c>
      <c r="F65">
        <v>42</v>
      </c>
      <c r="G65">
        <v>4.3724028060000002</v>
      </c>
      <c r="H65">
        <v>4.2721563076000004</v>
      </c>
      <c r="I65" t="s">
        <v>50</v>
      </c>
    </row>
    <row r="66" spans="1:9">
      <c r="A66" s="10">
        <v>44378</v>
      </c>
      <c r="B66" s="27">
        <v>109.28</v>
      </c>
      <c r="C66" s="9">
        <v>43</v>
      </c>
      <c r="D66" s="9">
        <f t="shared" si="0"/>
        <v>4.5331496733339112</v>
      </c>
      <c r="E66">
        <v>43</v>
      </c>
      <c r="F66">
        <v>43</v>
      </c>
      <c r="G66">
        <v>4.5331496729999996</v>
      </c>
      <c r="H66">
        <v>4.4731062479999997</v>
      </c>
      <c r="I66" t="s">
        <v>51</v>
      </c>
    </row>
    <row r="67" spans="1:9">
      <c r="A67" s="10">
        <v>44409</v>
      </c>
      <c r="B67" s="27">
        <v>109.74</v>
      </c>
      <c r="C67" s="9">
        <v>44</v>
      </c>
      <c r="D67" s="9">
        <f t="shared" si="0"/>
        <v>4.6448426131649914</v>
      </c>
      <c r="E67">
        <v>44</v>
      </c>
      <c r="F67">
        <v>44</v>
      </c>
      <c r="G67">
        <v>4.6448426129999998</v>
      </c>
      <c r="H67">
        <v>4.6740561884999998</v>
      </c>
      <c r="I67" t="s">
        <v>52</v>
      </c>
    </row>
    <row r="68" spans="1:9">
      <c r="A68" s="10">
        <v>44440</v>
      </c>
      <c r="B68" s="27">
        <v>110.096</v>
      </c>
      <c r="C68" s="9">
        <v>45</v>
      </c>
      <c r="D68" s="9">
        <f t="shared" si="0"/>
        <v>4.8054222831467532</v>
      </c>
      <c r="E68">
        <v>45</v>
      </c>
      <c r="F68">
        <v>45</v>
      </c>
      <c r="G68">
        <v>4.8054222830000004</v>
      </c>
      <c r="H68">
        <v>4.8750061289</v>
      </c>
      <c r="I68" t="s">
        <v>53</v>
      </c>
    </row>
    <row r="69" spans="1:9">
      <c r="A69" s="16">
        <v>44470</v>
      </c>
      <c r="B69" s="13">
        <v>110.80800000000001</v>
      </c>
      <c r="C69" s="14">
        <v>46</v>
      </c>
      <c r="D69" s="14">
        <f t="shared" si="0"/>
        <v>5.4069479852364948</v>
      </c>
      <c r="E69" s="14">
        <v>46</v>
      </c>
      <c r="F69" s="14">
        <v>46</v>
      </c>
      <c r="G69" s="14">
        <v>5.4069479850000004</v>
      </c>
      <c r="H69" s="14">
        <v>5.5590709274999996</v>
      </c>
      <c r="I69" t="s">
        <v>54</v>
      </c>
    </row>
    <row r="70" spans="1:9">
      <c r="A70" s="10">
        <v>44501</v>
      </c>
      <c r="B70" s="27">
        <v>111.494</v>
      </c>
      <c r="C70" s="9">
        <v>47</v>
      </c>
      <c r="D70" s="9">
        <f t="shared" si="0"/>
        <v>5.9859121457836224</v>
      </c>
      <c r="E70">
        <v>47</v>
      </c>
      <c r="F70">
        <v>47</v>
      </c>
      <c r="G70">
        <v>5.9859121460000004</v>
      </c>
      <c r="H70">
        <v>5.8227856459999998</v>
      </c>
      <c r="I70" t="s">
        <v>55</v>
      </c>
    </row>
    <row r="71" spans="1:9">
      <c r="A71" s="10">
        <v>44531</v>
      </c>
      <c r="B71" s="27">
        <v>112.24</v>
      </c>
      <c r="C71" s="9">
        <v>48</v>
      </c>
      <c r="D71" s="9">
        <f t="shared" si="0"/>
        <v>6.1802908038256712</v>
      </c>
      <c r="E71">
        <v>48</v>
      </c>
      <c r="F71">
        <v>48</v>
      </c>
      <c r="G71">
        <v>6.1802908040000002</v>
      </c>
      <c r="H71">
        <v>6.0865003644</v>
      </c>
      <c r="I71" t="s">
        <v>56</v>
      </c>
    </row>
    <row r="72" spans="1:9">
      <c r="A72" s="10">
        <v>44562</v>
      </c>
      <c r="B72" s="27">
        <v>112.82899999999999</v>
      </c>
      <c r="C72" s="9">
        <v>49</v>
      </c>
      <c r="D72" s="9">
        <f t="shared" si="0"/>
        <v>6.2970464930048493</v>
      </c>
      <c r="E72">
        <v>49</v>
      </c>
      <c r="F72">
        <v>49</v>
      </c>
      <c r="G72">
        <v>6.2970464929999999</v>
      </c>
      <c r="H72">
        <v>6.3502150829000001</v>
      </c>
      <c r="I72" t="s">
        <v>124</v>
      </c>
    </row>
    <row r="73" spans="1:9">
      <c r="A73" s="10">
        <v>44593</v>
      </c>
      <c r="B73" s="27">
        <v>113.496</v>
      </c>
      <c r="C73" s="9">
        <v>50</v>
      </c>
      <c r="D73" s="9">
        <f t="shared" si="0"/>
        <v>6.5470043746831541</v>
      </c>
      <c r="E73">
        <v>50</v>
      </c>
      <c r="F73">
        <v>50</v>
      </c>
      <c r="G73">
        <v>6.5470043750000002</v>
      </c>
      <c r="H73">
        <v>6.6139298014000003</v>
      </c>
      <c r="I73" t="s">
        <v>125</v>
      </c>
    </row>
    <row r="74" spans="1:9">
      <c r="A74" s="10">
        <v>44621</v>
      </c>
      <c r="B74" s="27">
        <v>114.446</v>
      </c>
      <c r="C74" s="9">
        <v>51</v>
      </c>
      <c r="D74" s="9">
        <f t="shared" si="0"/>
        <v>6.8929445388825537</v>
      </c>
      <c r="E74">
        <v>51</v>
      </c>
      <c r="F74">
        <v>51</v>
      </c>
      <c r="G74">
        <v>6.8929445390000001</v>
      </c>
      <c r="H74">
        <v>6.8776445197999996</v>
      </c>
      <c r="I74" t="s">
        <v>210</v>
      </c>
    </row>
    <row r="75" spans="1:9">
      <c r="A75" s="16">
        <v>44652</v>
      </c>
      <c r="B75" s="13">
        <v>114.789</v>
      </c>
      <c r="C75" s="14">
        <v>52</v>
      </c>
      <c r="D75" s="14">
        <f t="shared" si="0"/>
        <v>6.619791569913243</v>
      </c>
      <c r="E75" s="14">
        <v>52</v>
      </c>
      <c r="F75" s="14">
        <v>52</v>
      </c>
      <c r="G75" s="14">
        <v>6.6197915700000003</v>
      </c>
      <c r="H75" s="14">
        <v>7.2893400233000003</v>
      </c>
      <c r="I75" t="s">
        <v>211</v>
      </c>
    </row>
    <row r="76" spans="1:9">
      <c r="A76" s="10">
        <v>44682</v>
      </c>
      <c r="B76" s="27">
        <v>115.446</v>
      </c>
      <c r="C76" s="9">
        <v>53</v>
      </c>
      <c r="D76" s="9">
        <f t="shared" si="0"/>
        <v>6.6899553633313973</v>
      </c>
      <c r="E76">
        <v>53</v>
      </c>
      <c r="F76">
        <v>53</v>
      </c>
      <c r="G76">
        <v>6.6899553630000002</v>
      </c>
      <c r="H76">
        <v>7.0528676203999998</v>
      </c>
      <c r="I76" t="s">
        <v>212</v>
      </c>
    </row>
    <row r="77" spans="1:9">
      <c r="A77" s="10">
        <v>44713</v>
      </c>
      <c r="B77" s="27">
        <v>116.495</v>
      </c>
      <c r="C77" s="9">
        <v>54</v>
      </c>
      <c r="D77" s="9">
        <f t="shared" si="0"/>
        <v>7.1169141648659915</v>
      </c>
      <c r="E77">
        <v>54</v>
      </c>
      <c r="F77">
        <v>54</v>
      </c>
      <c r="G77">
        <v>7.1169141649999998</v>
      </c>
      <c r="H77">
        <v>6.8163952175000002</v>
      </c>
      <c r="I77" t="s">
        <v>213</v>
      </c>
    </row>
    <row r="78" spans="1:9">
      <c r="A78" s="10">
        <v>44743</v>
      </c>
      <c r="B78" s="27">
        <v>116.511</v>
      </c>
      <c r="C78" s="9">
        <v>55</v>
      </c>
      <c r="D78" s="9">
        <f t="shared" si="0"/>
        <v>6.616947291361635</v>
      </c>
      <c r="E78">
        <v>55</v>
      </c>
      <c r="F78">
        <v>55</v>
      </c>
      <c r="G78">
        <v>6.6169472909999998</v>
      </c>
      <c r="H78">
        <v>6.5799228145999997</v>
      </c>
      <c r="I78" t="s">
        <v>214</v>
      </c>
    </row>
    <row r="79" spans="1:9">
      <c r="A79" s="10">
        <v>44774</v>
      </c>
      <c r="B79" s="27">
        <v>116.89</v>
      </c>
      <c r="C79" s="9">
        <v>56</v>
      </c>
      <c r="D79" s="9">
        <f t="shared" si="0"/>
        <v>6.5154000364497957</v>
      </c>
      <c r="E79">
        <v>56</v>
      </c>
      <c r="F79">
        <v>56</v>
      </c>
      <c r="G79">
        <v>6.515400036</v>
      </c>
      <c r="H79">
        <v>6.3434504118000001</v>
      </c>
      <c r="I79" t="s">
        <v>215</v>
      </c>
    </row>
    <row r="80" spans="1:9">
      <c r="A80" s="10">
        <v>44805</v>
      </c>
      <c r="B80" s="27">
        <v>117.31399999999999</v>
      </c>
      <c r="C80" s="9">
        <v>57</v>
      </c>
      <c r="D80" s="9">
        <f t="shared" si="0"/>
        <v>6.5560964976020832</v>
      </c>
      <c r="E80">
        <v>57</v>
      </c>
      <c r="F80">
        <v>57</v>
      </c>
      <c r="G80">
        <v>6.5560964979999996</v>
      </c>
      <c r="H80">
        <v>6.1069780088999996</v>
      </c>
      <c r="I80" t="s">
        <v>216</v>
      </c>
    </row>
    <row r="81" spans="1:9">
      <c r="A81" s="10">
        <v>44835</v>
      </c>
      <c r="B81" s="27">
        <v>117.842</v>
      </c>
      <c r="C81" s="9">
        <v>58</v>
      </c>
      <c r="D81" s="9">
        <f t="shared" si="0"/>
        <v>6.3479171178976168</v>
      </c>
      <c r="E81">
        <v>58</v>
      </c>
      <c r="F81">
        <v>58</v>
      </c>
      <c r="G81">
        <v>6.3479171179999998</v>
      </c>
      <c r="H81">
        <v>5.870505606</v>
      </c>
      <c r="I81" t="s">
        <v>217</v>
      </c>
    </row>
    <row r="82" spans="1:9">
      <c r="A82" s="10">
        <v>44866</v>
      </c>
      <c r="B82" s="27">
        <v>118.104</v>
      </c>
      <c r="C82" s="9">
        <v>59</v>
      </c>
      <c r="D82" s="9">
        <f t="shared" si="0"/>
        <v>5.9285701472724988</v>
      </c>
      <c r="E82">
        <v>59</v>
      </c>
      <c r="F82">
        <v>59</v>
      </c>
      <c r="G82">
        <v>5.9285701470000003</v>
      </c>
      <c r="H82">
        <v>5.6340332031000004</v>
      </c>
    </row>
    <row r="83" spans="1:9">
      <c r="A83" s="10">
        <v>44896</v>
      </c>
      <c r="B83" s="27">
        <v>118.348</v>
      </c>
      <c r="C83" s="9">
        <v>60</v>
      </c>
      <c r="D83" s="9">
        <f t="shared" si="0"/>
        <v>5.441910192444765</v>
      </c>
      <c r="E83">
        <v>60</v>
      </c>
      <c r="F83">
        <v>60</v>
      </c>
      <c r="G83">
        <v>5.4419101919999999</v>
      </c>
      <c r="H83">
        <v>5.3975608003</v>
      </c>
    </row>
    <row r="84" spans="1:9">
      <c r="A84" s="10">
        <v>44927</v>
      </c>
      <c r="B84" s="27">
        <v>119.011</v>
      </c>
      <c r="C84" s="9">
        <v>61</v>
      </c>
      <c r="D84" s="9">
        <f t="shared" si="0"/>
        <v>5.4790878231660329</v>
      </c>
      <c r="E84">
        <v>61</v>
      </c>
      <c r="F84">
        <v>61</v>
      </c>
      <c r="G84">
        <v>5.4790878230000004</v>
      </c>
      <c r="H84">
        <v>5.1610883974000004</v>
      </c>
    </row>
    <row r="85" spans="1:9">
      <c r="A85" s="10">
        <v>44958</v>
      </c>
      <c r="B85" s="27">
        <v>119.386</v>
      </c>
      <c r="C85" s="9">
        <v>62</v>
      </c>
      <c r="D85" s="9">
        <f t="shared" si="0"/>
        <v>5.1896102065271021</v>
      </c>
      <c r="E85">
        <v>62</v>
      </c>
      <c r="F85">
        <v>62</v>
      </c>
      <c r="G85">
        <v>5.1896102070000003</v>
      </c>
      <c r="H85">
        <v>4.9246159944999999</v>
      </c>
    </row>
    <row r="86" spans="1:9">
      <c r="A86" s="10">
        <v>44986</v>
      </c>
      <c r="B86" s="27">
        <v>119.53</v>
      </c>
      <c r="C86" s="9">
        <v>63</v>
      </c>
      <c r="D86" s="9">
        <f t="shared" si="0"/>
        <v>4.4422697167222998</v>
      </c>
      <c r="E86">
        <v>63</v>
      </c>
      <c r="F86">
        <v>63</v>
      </c>
      <c r="G86">
        <v>4.4422697170000003</v>
      </c>
      <c r="H86">
        <v>4.6881435917000003</v>
      </c>
    </row>
    <row r="87" spans="1:9">
      <c r="A87" s="10">
        <v>45017</v>
      </c>
      <c r="B87" s="27">
        <v>119.893</v>
      </c>
      <c r="C87" s="9">
        <v>64</v>
      </c>
      <c r="D87" s="9">
        <f t="shared" si="0"/>
        <v>4.4464190819677833</v>
      </c>
      <c r="E87">
        <v>64</v>
      </c>
      <c r="F87">
        <v>64</v>
      </c>
      <c r="G87">
        <v>4.4464190820000002</v>
      </c>
      <c r="H87">
        <v>4.4516711887999998</v>
      </c>
    </row>
    <row r="88" spans="1:9">
      <c r="A88" s="10">
        <v>45047</v>
      </c>
      <c r="B88" s="27">
        <v>120.02</v>
      </c>
      <c r="C88" s="9">
        <v>65</v>
      </c>
      <c r="D88" s="9">
        <f t="shared" si="0"/>
        <v>3.9620255357483138</v>
      </c>
      <c r="E88">
        <v>65</v>
      </c>
      <c r="F88">
        <v>65</v>
      </c>
      <c r="G88">
        <v>3.9620255360000001</v>
      </c>
      <c r="H88">
        <v>4.2151987859000002</v>
      </c>
    </row>
    <row r="89" spans="1:9">
      <c r="A89" s="10">
        <v>45078</v>
      </c>
      <c r="B89" s="27">
        <v>120.221</v>
      </c>
      <c r="C89" s="9">
        <v>66</v>
      </c>
      <c r="D89" s="9">
        <f t="shared" si="0"/>
        <v>3.1984205330700881</v>
      </c>
      <c r="E89">
        <v>66</v>
      </c>
      <c r="F89">
        <v>66</v>
      </c>
      <c r="G89">
        <v>3.1984205330000002</v>
      </c>
      <c r="H89">
        <v>3.9787263830000001</v>
      </c>
    </row>
    <row r="90" spans="1:9">
      <c r="A90" s="10">
        <v>45108</v>
      </c>
      <c r="B90" s="27">
        <v>120.373</v>
      </c>
      <c r="C90" s="9">
        <v>67</v>
      </c>
      <c r="D90" s="9">
        <f t="shared" ref="D90:D100" si="1">100*(B90-B78)/B78</f>
        <v>3.3147084824608912</v>
      </c>
      <c r="E90">
        <v>67</v>
      </c>
      <c r="F90">
        <v>67</v>
      </c>
      <c r="G90">
        <v>3.3147084819999999</v>
      </c>
      <c r="H90">
        <v>3.7422539802000001</v>
      </c>
    </row>
    <row r="91" spans="1:9">
      <c r="A91" s="10">
        <v>45139</v>
      </c>
      <c r="B91" s="27">
        <v>120.803</v>
      </c>
      <c r="C91" s="9">
        <v>68</v>
      </c>
      <c r="D91" s="9">
        <f t="shared" si="1"/>
        <v>3.3475917529301022</v>
      </c>
      <c r="E91">
        <v>68</v>
      </c>
      <c r="F91">
        <v>68</v>
      </c>
      <c r="G91">
        <v>3.3475917530000001</v>
      </c>
      <c r="H91">
        <v>3.5057815773000001</v>
      </c>
    </row>
    <row r="92" spans="1:9">
      <c r="A92" s="10">
        <v>45170</v>
      </c>
      <c r="B92" s="27">
        <v>121.267</v>
      </c>
      <c r="C92" s="9">
        <v>69</v>
      </c>
      <c r="D92" s="9">
        <f t="shared" si="1"/>
        <v>3.369589307329051</v>
      </c>
      <c r="E92">
        <v>69</v>
      </c>
      <c r="F92">
        <v>69</v>
      </c>
      <c r="G92">
        <v>3.369589307</v>
      </c>
      <c r="H92">
        <v>3.2693091744</v>
      </c>
    </row>
    <row r="93" spans="1:9">
      <c r="A93" s="10">
        <v>45200</v>
      </c>
      <c r="B93" s="27">
        <v>121.309</v>
      </c>
      <c r="C93" s="9">
        <v>70</v>
      </c>
      <c r="D93" s="9">
        <f t="shared" si="1"/>
        <v>2.9420749817552307</v>
      </c>
      <c r="E93">
        <v>70</v>
      </c>
      <c r="F93">
        <v>70</v>
      </c>
      <c r="G93">
        <v>2.9420749819999998</v>
      </c>
      <c r="H93">
        <v>3.0328367715</v>
      </c>
    </row>
    <row r="94" spans="1:9">
      <c r="A94" s="10">
        <v>45231</v>
      </c>
      <c r="B94" s="27">
        <v>121.29600000000001</v>
      </c>
      <c r="C94" s="9">
        <v>71</v>
      </c>
      <c r="D94" s="9">
        <f t="shared" si="1"/>
        <v>2.7027027027027088</v>
      </c>
      <c r="E94">
        <v>71</v>
      </c>
      <c r="F94">
        <v>71</v>
      </c>
      <c r="G94">
        <v>2.7027027029999999</v>
      </c>
      <c r="H94">
        <v>2.7963643686999999</v>
      </c>
    </row>
    <row r="95" spans="1:9">
      <c r="A95" s="10">
        <v>45261</v>
      </c>
      <c r="B95" s="27">
        <v>121.44799999999999</v>
      </c>
      <c r="C95" s="9">
        <v>72</v>
      </c>
      <c r="D95" s="9">
        <f t="shared" si="1"/>
        <v>2.6193936526176991</v>
      </c>
      <c r="E95">
        <v>72</v>
      </c>
      <c r="F95">
        <v>72</v>
      </c>
      <c r="G95">
        <v>2.6193936529999999</v>
      </c>
      <c r="H95">
        <v>2.5598919657999999</v>
      </c>
    </row>
    <row r="96" spans="1:9">
      <c r="A96" s="10">
        <v>45292</v>
      </c>
      <c r="B96" s="27">
        <v>121.96599999999999</v>
      </c>
      <c r="C96" s="9">
        <v>73</v>
      </c>
      <c r="D96" s="9">
        <f t="shared" si="1"/>
        <v>2.4829637596524679</v>
      </c>
      <c r="E96">
        <v>73</v>
      </c>
      <c r="F96">
        <v>73</v>
      </c>
      <c r="G96">
        <v>2.4829637600000001</v>
      </c>
      <c r="H96">
        <v>2.3234195628999998</v>
      </c>
    </row>
    <row r="97" spans="1:8">
      <c r="A97" s="10">
        <v>45323</v>
      </c>
      <c r="B97" s="27">
        <v>122.367</v>
      </c>
      <c r="C97" s="9">
        <v>74</v>
      </c>
      <c r="D97" s="9">
        <f t="shared" si="1"/>
        <v>2.4969426900976739</v>
      </c>
      <c r="E97">
        <v>74</v>
      </c>
      <c r="F97">
        <v>74</v>
      </c>
      <c r="G97">
        <v>2.49694269</v>
      </c>
      <c r="H97">
        <v>2.0869471600999998</v>
      </c>
    </row>
    <row r="98" spans="1:8">
      <c r="A98" s="16">
        <v>45352</v>
      </c>
      <c r="B98" s="13">
        <v>122.782</v>
      </c>
      <c r="C98" s="14">
        <v>75</v>
      </c>
      <c r="D98" s="14">
        <f t="shared" si="1"/>
        <v>2.7206559022839416</v>
      </c>
      <c r="E98" s="14">
        <v>75</v>
      </c>
      <c r="F98" s="14">
        <v>75</v>
      </c>
      <c r="G98" s="14">
        <v>2.7206559019999998</v>
      </c>
      <c r="H98" s="14">
        <v>2.7193145344</v>
      </c>
    </row>
    <row r="99" spans="1:8">
      <c r="A99" s="10">
        <v>45383</v>
      </c>
      <c r="B99" s="27">
        <v>123.10299999999999</v>
      </c>
      <c r="C99" s="9">
        <v>76</v>
      </c>
      <c r="D99" s="9">
        <f t="shared" si="1"/>
        <v>2.6773873370421906</v>
      </c>
      <c r="E99">
        <v>76</v>
      </c>
      <c r="F99">
        <v>76</v>
      </c>
      <c r="G99">
        <v>2.6773873369999999</v>
      </c>
      <c r="H99">
        <v>2.6534383254999998</v>
      </c>
    </row>
    <row r="100" spans="1:8">
      <c r="A100" s="10">
        <v>45413</v>
      </c>
      <c r="B100" s="27">
        <v>123.11199999999999</v>
      </c>
      <c r="C100" s="9">
        <v>77</v>
      </c>
      <c r="D100" s="9">
        <f t="shared" si="1"/>
        <v>2.5762372937843683</v>
      </c>
      <c r="E100">
        <v>77</v>
      </c>
      <c r="F100">
        <v>77</v>
      </c>
      <c r="G100">
        <v>2.5762372939999998</v>
      </c>
      <c r="H100">
        <v>2.5875621166</v>
      </c>
    </row>
    <row r="101" spans="1:8">
      <c r="A101" s="10">
        <v>45444</v>
      </c>
      <c r="B101" s="27">
        <v>123.187</v>
      </c>
      <c r="C101" s="9">
        <v>78</v>
      </c>
      <c r="D101" s="9">
        <f>100*(B101-B89)/B89</f>
        <v>2.4671230483858841</v>
      </c>
      <c r="E101">
        <v>78</v>
      </c>
      <c r="F101">
        <v>78</v>
      </c>
      <c r="G101">
        <v>2.4671230479999999</v>
      </c>
      <c r="H101">
        <v>2.5216859076999998</v>
      </c>
    </row>
    <row r="102" spans="1:8">
      <c r="A102" s="10">
        <v>45474</v>
      </c>
      <c r="B102" s="27">
        <v>123.378</v>
      </c>
      <c r="C102" s="9">
        <v>79</v>
      </c>
      <c r="D102" s="9">
        <f t="shared" ref="D102" si="2">100*(B102-B90)/B90</f>
        <v>2.4964070015701156</v>
      </c>
      <c r="E102">
        <v>79</v>
      </c>
      <c r="F102">
        <v>79</v>
      </c>
      <c r="G102">
        <v>2.4964070020000002</v>
      </c>
      <c r="H102">
        <v>2.4558096988</v>
      </c>
    </row>
  </sheetData>
  <phoneticPr fontId="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FA1A-9574-4491-98A9-ABA94C101798}">
  <dimension ref="A1:I101"/>
  <sheetViews>
    <sheetView topLeftCell="A75" workbookViewId="0">
      <selection activeCell="C23" sqref="C23:H23"/>
    </sheetView>
  </sheetViews>
  <sheetFormatPr defaultRowHeight="13.2"/>
  <cols>
    <col min="1" max="1" width="14.77734375" customWidth="1"/>
    <col min="5" max="6" width="3.5546875" bestFit="1" customWidth="1"/>
  </cols>
  <sheetData>
    <row r="1" spans="1:2">
      <c r="A1" s="21" t="s">
        <v>0</v>
      </c>
      <c r="B1" s="21"/>
    </row>
    <row r="2" spans="1:2">
      <c r="A2" s="21" t="s">
        <v>1</v>
      </c>
      <c r="B2" s="21"/>
    </row>
    <row r="3" spans="1:2">
      <c r="A3" s="21" t="s">
        <v>2</v>
      </c>
      <c r="B3" s="21"/>
    </row>
    <row r="4" spans="1:2">
      <c r="A4" s="21" t="s">
        <v>3</v>
      </c>
      <c r="B4" s="21"/>
    </row>
    <row r="5" spans="1:2">
      <c r="A5" s="21" t="s">
        <v>4</v>
      </c>
      <c r="B5" s="21"/>
    </row>
    <row r="6" spans="1:2">
      <c r="A6" s="21" t="s">
        <v>5</v>
      </c>
      <c r="B6" s="21"/>
    </row>
    <row r="8" spans="1:2">
      <c r="A8" s="21" t="s">
        <v>6</v>
      </c>
      <c r="B8" s="21" t="s">
        <v>7</v>
      </c>
    </row>
    <row r="10" spans="1:2">
      <c r="A10" s="21" t="s">
        <v>8</v>
      </c>
      <c r="B10" s="21"/>
    </row>
    <row r="11" spans="1:2">
      <c r="A11" s="21" t="s">
        <v>9</v>
      </c>
      <c r="B11" s="21" t="s">
        <v>6</v>
      </c>
    </row>
    <row r="12" spans="1:2">
      <c r="A12" s="22">
        <v>42736</v>
      </c>
      <c r="B12" s="23">
        <v>99.450999999999993</v>
      </c>
    </row>
    <row r="13" spans="1:2">
      <c r="A13" s="22">
        <v>42767</v>
      </c>
      <c r="B13" s="23">
        <v>99.585999999999999</v>
      </c>
    </row>
    <row r="14" spans="1:2">
      <c r="A14" s="22">
        <v>42795</v>
      </c>
      <c r="B14" s="23">
        <v>99.534999999999997</v>
      </c>
    </row>
    <row r="15" spans="1:2">
      <c r="A15" s="22">
        <v>42826</v>
      </c>
      <c r="B15" s="23">
        <v>99.724999999999994</v>
      </c>
    </row>
    <row r="16" spans="1:2">
      <c r="A16" s="22">
        <v>42856</v>
      </c>
      <c r="B16" s="23">
        <v>99.682000000000002</v>
      </c>
    </row>
    <row r="17" spans="1:9">
      <c r="A17" s="22">
        <v>42887</v>
      </c>
      <c r="B17" s="23">
        <v>99.766000000000005</v>
      </c>
    </row>
    <row r="18" spans="1:9">
      <c r="A18" s="22">
        <v>42917</v>
      </c>
      <c r="B18" s="23">
        <v>99.802999999999997</v>
      </c>
    </row>
    <row r="19" spans="1:9">
      <c r="A19" s="22">
        <v>42948</v>
      </c>
      <c r="B19" s="23">
        <v>100.027</v>
      </c>
    </row>
    <row r="20" spans="1:9">
      <c r="A20" s="22">
        <v>42979</v>
      </c>
      <c r="B20" s="23">
        <v>100.4</v>
      </c>
    </row>
    <row r="21" spans="1:9">
      <c r="A21" s="22">
        <v>43009</v>
      </c>
      <c r="B21" s="23">
        <v>100.53100000000001</v>
      </c>
    </row>
    <row r="22" spans="1:9">
      <c r="A22" s="22">
        <v>43040</v>
      </c>
      <c r="B22" s="23">
        <v>100.675</v>
      </c>
    </row>
    <row r="23" spans="1:9" ht="13.8">
      <c r="A23" s="22">
        <v>43070</v>
      </c>
      <c r="B23" s="23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5">
        <v>43101</v>
      </c>
      <c r="B24" s="23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1.9214730728</v>
      </c>
      <c r="I24" t="s">
        <v>144</v>
      </c>
    </row>
    <row r="25" spans="1:9">
      <c r="A25" s="5">
        <v>43132</v>
      </c>
      <c r="B25" s="23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1.9557405768</v>
      </c>
      <c r="I25" t="s">
        <v>203</v>
      </c>
    </row>
    <row r="26" spans="1:9">
      <c r="A26" s="5">
        <v>43160</v>
      </c>
      <c r="B26" s="23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1.9900080808</v>
      </c>
      <c r="I26" t="s">
        <v>12</v>
      </c>
    </row>
    <row r="27" spans="1:9">
      <c r="A27" s="5">
        <v>43191</v>
      </c>
      <c r="B27" s="23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2.0242755847999998</v>
      </c>
      <c r="I27" t="s">
        <v>13</v>
      </c>
    </row>
    <row r="28" spans="1:9">
      <c r="A28" s="5">
        <v>43221</v>
      </c>
      <c r="B28" s="23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2.0585430888</v>
      </c>
      <c r="I28" t="s">
        <v>14</v>
      </c>
    </row>
    <row r="29" spans="1:9">
      <c r="A29" s="5">
        <v>43252</v>
      </c>
      <c r="B29" s="23">
        <v>102.029</v>
      </c>
      <c r="C29" s="9">
        <v>6</v>
      </c>
      <c r="D29" s="9">
        <f t="shared" si="0"/>
        <v>2.2683078403464014</v>
      </c>
      <c r="E29">
        <v>6</v>
      </c>
      <c r="F29">
        <v>6</v>
      </c>
      <c r="G29">
        <v>2.2683078399999999</v>
      </c>
      <c r="H29">
        <v>2.0928105927999998</v>
      </c>
      <c r="I29" t="s">
        <v>146</v>
      </c>
    </row>
    <row r="30" spans="1:9">
      <c r="A30" s="5">
        <v>43282</v>
      </c>
      <c r="B30" s="23">
        <v>102.137</v>
      </c>
      <c r="C30" s="9">
        <v>7</v>
      </c>
      <c r="D30" s="9">
        <f t="shared" si="0"/>
        <v>2.3386070559001264</v>
      </c>
      <c r="E30">
        <v>7</v>
      </c>
      <c r="F30">
        <v>7</v>
      </c>
      <c r="G30">
        <v>2.3386070559999999</v>
      </c>
      <c r="H30">
        <v>2.1270780968</v>
      </c>
      <c r="I30" t="s">
        <v>16</v>
      </c>
    </row>
    <row r="31" spans="1:9">
      <c r="A31" s="5">
        <v>43313</v>
      </c>
      <c r="B31" s="23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2.1613456007999998</v>
      </c>
    </row>
    <row r="32" spans="1:9">
      <c r="A32" s="5">
        <v>43344</v>
      </c>
      <c r="B32" s="23">
        <v>102.41800000000001</v>
      </c>
      <c r="C32" s="9">
        <v>9</v>
      </c>
      <c r="D32" s="9">
        <f t="shared" si="0"/>
        <v>2.0099601593625502</v>
      </c>
      <c r="E32">
        <v>9</v>
      </c>
      <c r="F32">
        <v>9</v>
      </c>
      <c r="G32">
        <v>2.0099601589999998</v>
      </c>
      <c r="H32">
        <v>2.1956131048</v>
      </c>
      <c r="I32" t="s">
        <v>147</v>
      </c>
    </row>
    <row r="33" spans="1:9">
      <c r="A33" s="5">
        <v>43374</v>
      </c>
      <c r="B33" s="23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2.2298806087999998</v>
      </c>
      <c r="I33" t="s">
        <v>148</v>
      </c>
    </row>
    <row r="34" spans="1:9">
      <c r="A34" s="16">
        <v>43405</v>
      </c>
      <c r="B34" s="23">
        <v>102.63</v>
      </c>
      <c r="C34" s="9">
        <v>11</v>
      </c>
      <c r="D34" s="9">
        <f t="shared" si="0"/>
        <v>1.9418922274646122</v>
      </c>
      <c r="E34">
        <v>11</v>
      </c>
      <c r="F34">
        <v>11</v>
      </c>
      <c r="G34">
        <v>1.9418922270000001</v>
      </c>
      <c r="H34">
        <v>1.7453838287000001</v>
      </c>
      <c r="I34" t="s">
        <v>149</v>
      </c>
    </row>
    <row r="35" spans="1:9">
      <c r="A35" s="5">
        <v>43435</v>
      </c>
      <c r="B35" s="23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1.7046582210000001</v>
      </c>
      <c r="I35" t="s">
        <v>150</v>
      </c>
    </row>
    <row r="36" spans="1:9">
      <c r="A36" s="5">
        <v>43466</v>
      </c>
      <c r="B36" s="23">
        <v>102.714</v>
      </c>
      <c r="C36" s="9">
        <v>13</v>
      </c>
      <c r="D36" s="9">
        <f t="shared" si="0"/>
        <v>1.4970503661103376</v>
      </c>
      <c r="E36">
        <v>13</v>
      </c>
      <c r="F36">
        <v>13</v>
      </c>
      <c r="G36">
        <v>1.4970503660000001</v>
      </c>
      <c r="H36">
        <v>1.6639326132000001</v>
      </c>
      <c r="I36" t="s">
        <v>151</v>
      </c>
    </row>
    <row r="37" spans="1:9">
      <c r="A37" s="5">
        <v>43497</v>
      </c>
      <c r="B37" s="23">
        <v>102.86199999999999</v>
      </c>
      <c r="C37" s="9">
        <v>14</v>
      </c>
      <c r="D37" s="9">
        <f t="shared" si="0"/>
        <v>1.4258105229943974</v>
      </c>
      <c r="E37">
        <v>14</v>
      </c>
      <c r="F37">
        <v>14</v>
      </c>
      <c r="G37">
        <v>1.425810523</v>
      </c>
      <c r="H37">
        <v>1.6232070055000001</v>
      </c>
      <c r="I37" t="s">
        <v>152</v>
      </c>
    </row>
    <row r="38" spans="1:9">
      <c r="A38" s="5">
        <v>43525</v>
      </c>
      <c r="B38" s="23">
        <v>103.056</v>
      </c>
      <c r="C38" s="9">
        <v>15</v>
      </c>
      <c r="D38" s="9">
        <f t="shared" si="0"/>
        <v>1.5090027973681066</v>
      </c>
      <c r="E38">
        <v>15</v>
      </c>
      <c r="F38">
        <v>15</v>
      </c>
      <c r="G38">
        <v>1.509002797</v>
      </c>
      <c r="H38">
        <v>1.5824813978000001</v>
      </c>
      <c r="I38" t="s">
        <v>153</v>
      </c>
    </row>
    <row r="39" spans="1:9">
      <c r="A39" s="5">
        <v>43556</v>
      </c>
      <c r="B39" s="23">
        <v>103.371</v>
      </c>
      <c r="C39" s="9">
        <v>16</v>
      </c>
      <c r="D39" s="9">
        <f t="shared" si="0"/>
        <v>1.5771475738458716</v>
      </c>
      <c r="E39">
        <v>16</v>
      </c>
      <c r="F39">
        <v>16</v>
      </c>
      <c r="G39">
        <v>1.5771475740000001</v>
      </c>
      <c r="H39">
        <v>1.5417557900000001</v>
      </c>
      <c r="I39" t="s">
        <v>154</v>
      </c>
    </row>
    <row r="40" spans="1:9">
      <c r="A40" s="5">
        <v>43586</v>
      </c>
      <c r="B40" s="23">
        <v>103.426</v>
      </c>
      <c r="C40" s="9">
        <v>17</v>
      </c>
      <c r="D40" s="9">
        <f t="shared" si="0"/>
        <v>1.4567249683640531</v>
      </c>
      <c r="E40">
        <v>17</v>
      </c>
      <c r="F40">
        <v>17</v>
      </c>
      <c r="G40">
        <v>1.4567249680000001</v>
      </c>
      <c r="H40">
        <v>1.5010301823000001</v>
      </c>
      <c r="I40" t="s">
        <v>155</v>
      </c>
    </row>
    <row r="41" spans="1:9">
      <c r="A41" s="5">
        <v>43617</v>
      </c>
      <c r="B41" s="23">
        <v>103.46899999999999</v>
      </c>
      <c r="C41" s="9">
        <v>18</v>
      </c>
      <c r="D41" s="9">
        <f t="shared" si="0"/>
        <v>1.4113634358858733</v>
      </c>
      <c r="E41">
        <v>18</v>
      </c>
      <c r="F41">
        <v>18</v>
      </c>
      <c r="G41">
        <v>1.411363436</v>
      </c>
      <c r="H41">
        <v>1.4603045746000001</v>
      </c>
      <c r="I41" t="s">
        <v>156</v>
      </c>
    </row>
    <row r="42" spans="1:9">
      <c r="A42" s="5">
        <v>43647</v>
      </c>
      <c r="B42" s="23">
        <v>103.608</v>
      </c>
      <c r="C42" s="9">
        <v>19</v>
      </c>
      <c r="D42" s="9">
        <f t="shared" si="0"/>
        <v>1.4402224463221003</v>
      </c>
      <c r="E42">
        <v>19</v>
      </c>
      <c r="F42">
        <v>19</v>
      </c>
      <c r="G42">
        <v>1.4402224459999999</v>
      </c>
      <c r="H42">
        <v>1.4195789668000001</v>
      </c>
      <c r="I42" t="s">
        <v>157</v>
      </c>
    </row>
    <row r="43" spans="1:9">
      <c r="A43" s="5">
        <v>43678</v>
      </c>
      <c r="B43" s="23">
        <v>103.661</v>
      </c>
      <c r="C43" s="9">
        <v>20</v>
      </c>
      <c r="D43" s="9">
        <f t="shared" si="0"/>
        <v>1.4216108328115244</v>
      </c>
      <c r="E43">
        <v>20</v>
      </c>
      <c r="F43">
        <v>20</v>
      </c>
      <c r="G43">
        <v>1.4216108329999999</v>
      </c>
      <c r="H43">
        <v>1.3788533591000001</v>
      </c>
      <c r="I43" t="s">
        <v>158</v>
      </c>
    </row>
    <row r="44" spans="1:9">
      <c r="A44" s="5">
        <v>43709</v>
      </c>
      <c r="B44" s="23">
        <v>103.754</v>
      </c>
      <c r="C44" s="9">
        <v>21</v>
      </c>
      <c r="D44" s="9">
        <f t="shared" si="0"/>
        <v>1.3044582007069054</v>
      </c>
      <c r="E44">
        <v>21</v>
      </c>
      <c r="F44">
        <v>21</v>
      </c>
      <c r="G44">
        <v>1.3044582010000001</v>
      </c>
      <c r="H44">
        <v>1.3381277514000001</v>
      </c>
      <c r="I44" t="s">
        <v>159</v>
      </c>
    </row>
    <row r="45" spans="1:9">
      <c r="A45" s="5">
        <v>43739</v>
      </c>
      <c r="B45" s="23">
        <v>103.961</v>
      </c>
      <c r="C45" s="9">
        <v>22</v>
      </c>
      <c r="D45" s="9">
        <f t="shared" si="0"/>
        <v>1.3314489010185679</v>
      </c>
      <c r="E45">
        <v>22</v>
      </c>
      <c r="F45">
        <v>22</v>
      </c>
      <c r="G45">
        <v>1.3314489009999999</v>
      </c>
      <c r="H45">
        <v>1.2974021437000001</v>
      </c>
      <c r="I45" t="s">
        <v>160</v>
      </c>
    </row>
    <row r="46" spans="1:9">
      <c r="A46" s="5">
        <v>43770</v>
      </c>
      <c r="B46" s="23">
        <v>103.997</v>
      </c>
      <c r="C46" s="9">
        <v>23</v>
      </c>
      <c r="D46" s="9">
        <f t="shared" si="0"/>
        <v>1.3319692097827189</v>
      </c>
      <c r="E46">
        <v>23</v>
      </c>
      <c r="F46">
        <v>23</v>
      </c>
      <c r="G46">
        <v>1.33196921</v>
      </c>
      <c r="H46">
        <v>1.2566765359000001</v>
      </c>
      <c r="I46" t="s">
        <v>161</v>
      </c>
    </row>
    <row r="47" spans="1:9">
      <c r="A47" s="16">
        <v>43800</v>
      </c>
      <c r="B47" s="23">
        <v>104.282</v>
      </c>
      <c r="C47" s="9">
        <v>24</v>
      </c>
      <c r="D47" s="9">
        <f t="shared" si="0"/>
        <v>1.5394202588095571</v>
      </c>
      <c r="E47">
        <v>24</v>
      </c>
      <c r="F47">
        <v>24</v>
      </c>
      <c r="G47">
        <v>1.5394202589999999</v>
      </c>
      <c r="H47">
        <v>1.4000750136</v>
      </c>
      <c r="I47" t="s">
        <v>162</v>
      </c>
    </row>
    <row r="48" spans="1:9">
      <c r="A48" s="5">
        <v>43831</v>
      </c>
      <c r="B48" s="23">
        <v>104.458</v>
      </c>
      <c r="C48" s="9">
        <v>25</v>
      </c>
      <c r="D48" s="9">
        <f t="shared" si="0"/>
        <v>1.6979184921237609</v>
      </c>
      <c r="E48">
        <v>25</v>
      </c>
      <c r="F48">
        <v>25</v>
      </c>
      <c r="G48">
        <v>1.6979184919999999</v>
      </c>
      <c r="H48">
        <v>1.3312720539</v>
      </c>
      <c r="I48" t="s">
        <v>163</v>
      </c>
    </row>
    <row r="49" spans="1:9">
      <c r="A49" s="5">
        <v>43862</v>
      </c>
      <c r="B49" s="23">
        <v>104.551</v>
      </c>
      <c r="C49" s="9">
        <v>26</v>
      </c>
      <c r="D49" s="9">
        <f t="shared" si="0"/>
        <v>1.6420057941708379</v>
      </c>
      <c r="E49">
        <v>26</v>
      </c>
      <c r="F49">
        <v>26</v>
      </c>
      <c r="G49">
        <v>1.6420057939999999</v>
      </c>
      <c r="H49">
        <v>1.2624690943000001</v>
      </c>
      <c r="I49" t="s">
        <v>164</v>
      </c>
    </row>
    <row r="50" spans="1:9">
      <c r="A50" s="5">
        <v>43891</v>
      </c>
      <c r="B50" s="23">
        <v>104.238</v>
      </c>
      <c r="C50" s="9">
        <v>27</v>
      </c>
      <c r="D50" s="9">
        <f t="shared" si="0"/>
        <v>1.1469492314857963</v>
      </c>
      <c r="E50">
        <v>27</v>
      </c>
      <c r="F50">
        <v>27</v>
      </c>
      <c r="G50">
        <v>1.146949231</v>
      </c>
      <c r="H50">
        <v>1.1936661346999999</v>
      </c>
      <c r="I50" t="s">
        <v>165</v>
      </c>
    </row>
    <row r="51" spans="1:9">
      <c r="A51" s="5">
        <v>43922</v>
      </c>
      <c r="B51" s="23">
        <v>103.79600000000001</v>
      </c>
      <c r="C51" s="9">
        <v>28</v>
      </c>
      <c r="D51" s="9">
        <f t="shared" si="0"/>
        <v>0.41114045525341864</v>
      </c>
      <c r="E51">
        <v>28</v>
      </c>
      <c r="F51">
        <v>28</v>
      </c>
      <c r="G51">
        <v>0.41114045500000002</v>
      </c>
      <c r="H51">
        <v>1.124863175</v>
      </c>
      <c r="I51" t="s">
        <v>166</v>
      </c>
    </row>
    <row r="52" spans="1:9">
      <c r="A52" s="5">
        <v>43952</v>
      </c>
      <c r="B52" s="23">
        <v>103.89</v>
      </c>
      <c r="C52" s="9">
        <v>29</v>
      </c>
      <c r="D52" s="9">
        <f t="shared" si="0"/>
        <v>0.44862993831338216</v>
      </c>
      <c r="E52">
        <v>29</v>
      </c>
      <c r="F52">
        <v>29</v>
      </c>
      <c r="G52">
        <v>0.44862993800000001</v>
      </c>
      <c r="H52">
        <v>1.0560602154000001</v>
      </c>
      <c r="I52" t="s">
        <v>167</v>
      </c>
    </row>
    <row r="53" spans="1:9">
      <c r="A53" s="5">
        <v>43983</v>
      </c>
      <c r="B53" s="23">
        <v>104.199</v>
      </c>
      <c r="C53" s="9">
        <v>30</v>
      </c>
      <c r="D53" s="9">
        <f t="shared" si="0"/>
        <v>0.70552532642627652</v>
      </c>
      <c r="E53">
        <v>30</v>
      </c>
      <c r="F53">
        <v>30</v>
      </c>
      <c r="G53">
        <v>0.70552532599999995</v>
      </c>
      <c r="H53">
        <v>0.9872572557</v>
      </c>
      <c r="I53" t="s">
        <v>168</v>
      </c>
    </row>
    <row r="54" spans="1:9">
      <c r="A54" s="5">
        <v>44013</v>
      </c>
      <c r="B54" s="23">
        <v>104.541</v>
      </c>
      <c r="C54" s="9">
        <v>31</v>
      </c>
      <c r="D54" s="9">
        <f t="shared" si="0"/>
        <v>0.90050961315727807</v>
      </c>
      <c r="E54">
        <v>31</v>
      </c>
      <c r="F54">
        <v>31</v>
      </c>
      <c r="G54">
        <v>0.90050961299999999</v>
      </c>
      <c r="H54">
        <v>0.91845429609999996</v>
      </c>
      <c r="I54" t="s">
        <v>169</v>
      </c>
    </row>
    <row r="55" spans="1:9">
      <c r="A55" s="5">
        <v>44044</v>
      </c>
      <c r="B55" s="23">
        <v>104.869</v>
      </c>
      <c r="C55" s="9">
        <v>32</v>
      </c>
      <c r="D55" s="9">
        <f t="shared" si="0"/>
        <v>1.1653370119910076</v>
      </c>
      <c r="E55">
        <v>32</v>
      </c>
      <c r="F55">
        <v>32</v>
      </c>
      <c r="G55">
        <v>1.1653370119999999</v>
      </c>
      <c r="H55">
        <v>0.84965133650000002</v>
      </c>
      <c r="I55" t="s">
        <v>170</v>
      </c>
    </row>
    <row r="56" spans="1:9">
      <c r="A56" s="5">
        <v>44075</v>
      </c>
      <c r="B56" s="23">
        <v>105.048</v>
      </c>
      <c r="C56" s="9">
        <v>33</v>
      </c>
      <c r="D56" s="9">
        <f t="shared" si="0"/>
        <v>1.2471808315823938</v>
      </c>
      <c r="E56">
        <v>33</v>
      </c>
      <c r="F56">
        <v>33</v>
      </c>
      <c r="G56">
        <v>1.247180832</v>
      </c>
      <c r="H56">
        <v>0.78084837679999997</v>
      </c>
      <c r="I56" t="s">
        <v>171</v>
      </c>
    </row>
    <row r="57" spans="1:9">
      <c r="A57" s="16">
        <v>44105</v>
      </c>
      <c r="B57" s="23">
        <v>105.124</v>
      </c>
      <c r="C57" s="9">
        <v>34</v>
      </c>
      <c r="D57" s="9">
        <f t="shared" si="0"/>
        <v>1.11868873904637</v>
      </c>
      <c r="E57">
        <v>34</v>
      </c>
      <c r="F57">
        <v>34</v>
      </c>
      <c r="G57">
        <v>1.118688739</v>
      </c>
      <c r="H57">
        <v>0.70361757000000003</v>
      </c>
      <c r="I57" t="s">
        <v>172</v>
      </c>
    </row>
    <row r="58" spans="1:9">
      <c r="A58" s="5">
        <v>44136</v>
      </c>
      <c r="B58" s="23">
        <v>105.197</v>
      </c>
      <c r="C58" s="9">
        <v>35</v>
      </c>
      <c r="D58" s="9">
        <f t="shared" si="0"/>
        <v>1.1538794388299689</v>
      </c>
      <c r="E58">
        <v>35</v>
      </c>
      <c r="F58">
        <v>35</v>
      </c>
      <c r="G58">
        <v>1.153879439</v>
      </c>
      <c r="H58">
        <v>1.1316695146</v>
      </c>
      <c r="I58" t="s">
        <v>173</v>
      </c>
    </row>
    <row r="59" spans="1:9">
      <c r="A59" s="5">
        <v>44166</v>
      </c>
      <c r="B59" s="23">
        <v>105.70699999999999</v>
      </c>
      <c r="C59" s="9">
        <v>36</v>
      </c>
      <c r="D59" s="9">
        <f t="shared" si="0"/>
        <v>1.3664870255652914</v>
      </c>
      <c r="E59">
        <v>36</v>
      </c>
      <c r="F59">
        <v>36</v>
      </c>
      <c r="G59">
        <v>1.3664870259999999</v>
      </c>
      <c r="H59">
        <v>1.5597214590999999</v>
      </c>
      <c r="I59" t="s">
        <v>174</v>
      </c>
    </row>
    <row r="60" spans="1:9">
      <c r="A60" s="5">
        <v>44197</v>
      </c>
      <c r="B60" s="23">
        <v>106.145</v>
      </c>
      <c r="C60" s="9">
        <v>37</v>
      </c>
      <c r="D60" s="9">
        <f t="shared" si="0"/>
        <v>1.6150031591644467</v>
      </c>
      <c r="E60">
        <v>37</v>
      </c>
      <c r="F60">
        <v>37</v>
      </c>
      <c r="G60">
        <v>1.615003159</v>
      </c>
      <c r="H60">
        <v>1.9877734036000001</v>
      </c>
      <c r="I60" t="s">
        <v>175</v>
      </c>
    </row>
    <row r="61" spans="1:9">
      <c r="A61" s="5">
        <v>44228</v>
      </c>
      <c r="B61" s="23">
        <v>106.52200000000001</v>
      </c>
      <c r="C61" s="9">
        <v>38</v>
      </c>
      <c r="D61" s="9">
        <f t="shared" si="0"/>
        <v>1.8852043500301323</v>
      </c>
      <c r="E61">
        <v>38</v>
      </c>
      <c r="F61">
        <v>38</v>
      </c>
      <c r="G61">
        <v>1.88520435</v>
      </c>
      <c r="H61">
        <v>2.4158253480999998</v>
      </c>
      <c r="I61" t="s">
        <v>176</v>
      </c>
    </row>
    <row r="62" spans="1:9">
      <c r="A62" s="5">
        <v>44256</v>
      </c>
      <c r="B62" s="23">
        <v>107.066</v>
      </c>
      <c r="C62" s="9">
        <v>39</v>
      </c>
      <c r="D62" s="9">
        <f t="shared" si="0"/>
        <v>2.7130221224505489</v>
      </c>
      <c r="E62">
        <v>39</v>
      </c>
      <c r="F62">
        <v>39</v>
      </c>
      <c r="G62">
        <v>2.7130221219999999</v>
      </c>
      <c r="H62">
        <v>2.8438772926000002</v>
      </c>
      <c r="I62" t="s">
        <v>204</v>
      </c>
    </row>
    <row r="63" spans="1:9">
      <c r="A63" s="5">
        <v>44287</v>
      </c>
      <c r="B63" s="23">
        <v>107.66200000000001</v>
      </c>
      <c r="C63" s="9">
        <v>40</v>
      </c>
      <c r="D63" s="9">
        <f t="shared" si="0"/>
        <v>3.7246136652664839</v>
      </c>
      <c r="E63">
        <v>40</v>
      </c>
      <c r="F63">
        <v>40</v>
      </c>
      <c r="G63">
        <v>3.7246136650000001</v>
      </c>
      <c r="H63">
        <v>3.2719292372000002</v>
      </c>
      <c r="I63" t="s">
        <v>205</v>
      </c>
    </row>
    <row r="64" spans="1:9">
      <c r="A64" s="5">
        <v>44317</v>
      </c>
      <c r="B64" s="23">
        <v>108.20699999999999</v>
      </c>
      <c r="C64" s="9">
        <v>41</v>
      </c>
      <c r="D64" s="9">
        <f t="shared" si="0"/>
        <v>4.1553566272018418</v>
      </c>
      <c r="E64">
        <v>41</v>
      </c>
      <c r="F64">
        <v>41</v>
      </c>
      <c r="G64">
        <v>4.1553566269999997</v>
      </c>
      <c r="H64">
        <v>3.6999811817000001</v>
      </c>
      <c r="I64" t="s">
        <v>206</v>
      </c>
    </row>
    <row r="65" spans="1:9">
      <c r="A65" s="5">
        <v>44348</v>
      </c>
      <c r="B65" s="23">
        <v>108.755</v>
      </c>
      <c r="C65" s="9">
        <v>42</v>
      </c>
      <c r="D65" s="9">
        <f t="shared" si="0"/>
        <v>4.3724028061689628</v>
      </c>
      <c r="E65">
        <v>42</v>
      </c>
      <c r="F65">
        <v>42</v>
      </c>
      <c r="G65">
        <v>4.3724028060000002</v>
      </c>
      <c r="H65">
        <v>4.1280331262000001</v>
      </c>
      <c r="I65" t="s">
        <v>207</v>
      </c>
    </row>
    <row r="66" spans="1:9">
      <c r="A66" s="5">
        <v>44378</v>
      </c>
      <c r="B66" s="23">
        <v>109.28</v>
      </c>
      <c r="C66" s="9">
        <v>43</v>
      </c>
      <c r="D66" s="9">
        <f t="shared" si="0"/>
        <v>4.5331496733339112</v>
      </c>
      <c r="E66">
        <v>43</v>
      </c>
      <c r="F66">
        <v>43</v>
      </c>
      <c r="G66">
        <v>4.5331496729999996</v>
      </c>
      <c r="H66">
        <v>4.5560850707</v>
      </c>
      <c r="I66" t="s">
        <v>208</v>
      </c>
    </row>
    <row r="67" spans="1:9">
      <c r="A67" s="5">
        <v>44409</v>
      </c>
      <c r="B67" s="23">
        <v>109.74</v>
      </c>
      <c r="C67" s="9">
        <v>44</v>
      </c>
      <c r="D67" s="9">
        <f t="shared" si="0"/>
        <v>4.6448426131649914</v>
      </c>
      <c r="E67">
        <v>44</v>
      </c>
      <c r="F67">
        <v>44</v>
      </c>
      <c r="G67">
        <v>4.6448426129999998</v>
      </c>
      <c r="H67">
        <v>4.9841370152</v>
      </c>
    </row>
    <row r="68" spans="1:9">
      <c r="A68" s="16">
        <v>44440</v>
      </c>
      <c r="B68" s="23">
        <v>110.096</v>
      </c>
      <c r="C68" s="9">
        <v>45</v>
      </c>
      <c r="D68" s="9">
        <f t="shared" si="0"/>
        <v>4.8054222831467532</v>
      </c>
      <c r="E68">
        <v>45</v>
      </c>
      <c r="F68">
        <v>45</v>
      </c>
      <c r="G68">
        <v>4.8054222830000004</v>
      </c>
      <c r="H68">
        <v>5.2903558416000003</v>
      </c>
    </row>
    <row r="69" spans="1:9">
      <c r="A69" s="5">
        <v>44470</v>
      </c>
      <c r="B69" s="23">
        <v>110.80800000000001</v>
      </c>
      <c r="C69" s="9">
        <v>46</v>
      </c>
      <c r="D69" s="9">
        <f t="shared" si="0"/>
        <v>5.4069479852364948</v>
      </c>
      <c r="E69">
        <v>46</v>
      </c>
      <c r="F69">
        <v>46</v>
      </c>
      <c r="G69">
        <v>5.4069479850000004</v>
      </c>
      <c r="H69">
        <v>5.5045485372999998</v>
      </c>
    </row>
    <row r="70" spans="1:9">
      <c r="A70" s="5">
        <v>44501</v>
      </c>
      <c r="B70" s="23">
        <v>111.494</v>
      </c>
      <c r="C70" s="9">
        <v>47</v>
      </c>
      <c r="D70" s="9">
        <f t="shared" si="0"/>
        <v>5.9859121457836224</v>
      </c>
      <c r="E70">
        <v>47</v>
      </c>
      <c r="F70">
        <v>47</v>
      </c>
      <c r="G70">
        <v>5.9859121460000004</v>
      </c>
      <c r="H70">
        <v>5.7187412330000003</v>
      </c>
    </row>
    <row r="71" spans="1:9">
      <c r="A71" s="5">
        <v>44531</v>
      </c>
      <c r="B71" s="23">
        <v>112.24</v>
      </c>
      <c r="C71" s="9">
        <v>48</v>
      </c>
      <c r="D71" s="9">
        <f t="shared" si="0"/>
        <v>6.1802908038256712</v>
      </c>
      <c r="E71">
        <v>48</v>
      </c>
      <c r="F71">
        <v>48</v>
      </c>
      <c r="G71">
        <v>6.1802908040000002</v>
      </c>
      <c r="H71">
        <v>5.9329339286999998</v>
      </c>
    </row>
    <row r="72" spans="1:9">
      <c r="A72" s="5">
        <v>44562</v>
      </c>
      <c r="B72" s="23">
        <v>112.82899999999999</v>
      </c>
      <c r="C72" s="9">
        <v>49</v>
      </c>
      <c r="D72" s="9">
        <f t="shared" si="0"/>
        <v>6.2970464930048493</v>
      </c>
      <c r="E72">
        <v>49</v>
      </c>
      <c r="F72">
        <v>49</v>
      </c>
      <c r="G72">
        <v>6.2970464929999999</v>
      </c>
      <c r="H72">
        <v>6.1471266244000002</v>
      </c>
    </row>
    <row r="73" spans="1:9">
      <c r="A73" s="5">
        <v>44593</v>
      </c>
      <c r="B73" s="23">
        <v>113.496</v>
      </c>
      <c r="C73" s="9">
        <v>50</v>
      </c>
      <c r="D73" s="9">
        <f t="shared" si="0"/>
        <v>6.5470043746831541</v>
      </c>
      <c r="E73">
        <v>50</v>
      </c>
      <c r="F73">
        <v>50</v>
      </c>
      <c r="G73">
        <v>6.5470043750000002</v>
      </c>
      <c r="H73">
        <v>6.3613193201999998</v>
      </c>
    </row>
    <row r="74" spans="1:9">
      <c r="A74" s="5">
        <v>44621</v>
      </c>
      <c r="B74" s="23">
        <v>114.446</v>
      </c>
      <c r="C74" s="9">
        <v>51</v>
      </c>
      <c r="D74" s="9">
        <f t="shared" si="0"/>
        <v>6.8929445388825537</v>
      </c>
      <c r="E74">
        <v>51</v>
      </c>
      <c r="F74">
        <v>51</v>
      </c>
      <c r="G74">
        <v>6.8929445390000001</v>
      </c>
      <c r="H74">
        <v>6.5755120159000002</v>
      </c>
    </row>
    <row r="75" spans="1:9">
      <c r="A75" s="5">
        <v>44652</v>
      </c>
      <c r="B75" s="23">
        <v>114.789</v>
      </c>
      <c r="C75" s="9">
        <v>52</v>
      </c>
      <c r="D75" s="9">
        <f t="shared" si="0"/>
        <v>6.619791569913243</v>
      </c>
      <c r="E75">
        <v>52</v>
      </c>
      <c r="F75">
        <v>52</v>
      </c>
      <c r="G75">
        <v>6.6197915700000003</v>
      </c>
      <c r="H75">
        <v>6.7897047115999998</v>
      </c>
    </row>
    <row r="76" spans="1:9">
      <c r="A76" s="5">
        <v>44682</v>
      </c>
      <c r="B76" s="23">
        <v>115.446</v>
      </c>
      <c r="C76" s="9">
        <v>53</v>
      </c>
      <c r="D76" s="9">
        <f t="shared" si="0"/>
        <v>6.6899553633313973</v>
      </c>
      <c r="E76">
        <v>53</v>
      </c>
      <c r="F76">
        <v>53</v>
      </c>
      <c r="G76">
        <v>6.6899553630000002</v>
      </c>
      <c r="H76">
        <v>7.0038974073000002</v>
      </c>
    </row>
    <row r="77" spans="1:9">
      <c r="A77" s="5">
        <v>44713</v>
      </c>
      <c r="B77" s="23">
        <v>116.495</v>
      </c>
      <c r="C77" s="9">
        <v>54</v>
      </c>
      <c r="D77" s="9">
        <f t="shared" si="0"/>
        <v>7.1169141648659915</v>
      </c>
      <c r="E77">
        <v>54</v>
      </c>
      <c r="F77">
        <v>54</v>
      </c>
      <c r="G77">
        <v>7.1169141649999998</v>
      </c>
      <c r="H77">
        <v>7.2180901029999998</v>
      </c>
    </row>
    <row r="78" spans="1:9">
      <c r="A78" s="16">
        <v>44743</v>
      </c>
      <c r="B78" s="23">
        <v>116.511</v>
      </c>
      <c r="C78" s="9">
        <v>55</v>
      </c>
      <c r="D78" s="9">
        <f t="shared" si="0"/>
        <v>6.616947291361635</v>
      </c>
      <c r="E78">
        <v>55</v>
      </c>
      <c r="F78">
        <v>55</v>
      </c>
      <c r="G78">
        <v>6.6169472909999998</v>
      </c>
      <c r="H78">
        <v>6.9323007443</v>
      </c>
    </row>
    <row r="79" spans="1:9">
      <c r="A79" s="5">
        <v>44774</v>
      </c>
      <c r="B79" s="23">
        <v>116.89</v>
      </c>
      <c r="C79" s="9">
        <v>56</v>
      </c>
      <c r="D79" s="9">
        <f t="shared" si="0"/>
        <v>6.5154000364497957</v>
      </c>
      <c r="E79">
        <v>56</v>
      </c>
      <c r="F79">
        <v>56</v>
      </c>
      <c r="G79">
        <v>6.515400036</v>
      </c>
      <c r="H79">
        <v>6.6535906617</v>
      </c>
    </row>
    <row r="80" spans="1:9">
      <c r="A80" s="5">
        <v>44805</v>
      </c>
      <c r="B80" s="23">
        <v>117.31399999999999</v>
      </c>
      <c r="C80" s="9">
        <v>57</v>
      </c>
      <c r="D80" s="9">
        <f t="shared" si="0"/>
        <v>6.5560964976020832</v>
      </c>
      <c r="E80">
        <v>57</v>
      </c>
      <c r="F80">
        <v>57</v>
      </c>
      <c r="G80">
        <v>6.5560964979999996</v>
      </c>
      <c r="H80">
        <v>6.3748805792000001</v>
      </c>
    </row>
    <row r="81" spans="1:8">
      <c r="A81" s="5">
        <v>44835</v>
      </c>
      <c r="B81" s="23">
        <v>117.842</v>
      </c>
      <c r="C81" s="9">
        <v>58</v>
      </c>
      <c r="D81" s="9">
        <f t="shared" si="0"/>
        <v>6.3479171178976168</v>
      </c>
      <c r="E81">
        <v>58</v>
      </c>
      <c r="F81">
        <v>58</v>
      </c>
      <c r="G81">
        <v>6.3479171179999998</v>
      </c>
      <c r="H81">
        <v>6.0961704966000001</v>
      </c>
    </row>
    <row r="82" spans="1:8">
      <c r="A82" s="5">
        <v>44866</v>
      </c>
      <c r="B82" s="23">
        <v>118.104</v>
      </c>
      <c r="C82" s="9">
        <v>59</v>
      </c>
      <c r="D82" s="9">
        <f t="shared" si="0"/>
        <v>5.9285701472724988</v>
      </c>
      <c r="E82">
        <v>59</v>
      </c>
      <c r="F82">
        <v>59</v>
      </c>
      <c r="G82">
        <v>5.9285701470000003</v>
      </c>
      <c r="H82">
        <v>5.8174604141000001</v>
      </c>
    </row>
    <row r="83" spans="1:8">
      <c r="A83" s="5">
        <v>44896</v>
      </c>
      <c r="B83" s="23">
        <v>118.348</v>
      </c>
      <c r="C83" s="9">
        <v>60</v>
      </c>
      <c r="D83" s="9">
        <f t="shared" si="0"/>
        <v>5.441910192444765</v>
      </c>
      <c r="E83">
        <v>60</v>
      </c>
      <c r="F83">
        <v>60</v>
      </c>
      <c r="G83">
        <v>5.4419101919999999</v>
      </c>
      <c r="H83">
        <v>5.5387503315000002</v>
      </c>
    </row>
    <row r="84" spans="1:8">
      <c r="A84" s="5">
        <v>44927</v>
      </c>
      <c r="B84" s="23">
        <v>119.011</v>
      </c>
      <c r="C84" s="9">
        <v>61</v>
      </c>
      <c r="D84" s="9">
        <f t="shared" si="0"/>
        <v>5.4790878231660329</v>
      </c>
      <c r="E84">
        <v>61</v>
      </c>
      <c r="F84">
        <v>61</v>
      </c>
      <c r="G84">
        <v>5.4790878230000004</v>
      </c>
      <c r="H84">
        <v>5.2600402490000002</v>
      </c>
    </row>
    <row r="85" spans="1:8">
      <c r="A85" s="5">
        <v>44958</v>
      </c>
      <c r="B85" s="23">
        <v>119.386</v>
      </c>
      <c r="C85" s="9">
        <v>62</v>
      </c>
      <c r="D85" s="9">
        <f t="shared" si="0"/>
        <v>5.1896102065271021</v>
      </c>
      <c r="E85">
        <v>62</v>
      </c>
      <c r="F85">
        <v>62</v>
      </c>
      <c r="G85">
        <v>5.1896102070000003</v>
      </c>
      <c r="H85">
        <v>4.9813301665000003</v>
      </c>
    </row>
    <row r="86" spans="1:8">
      <c r="A86" s="5">
        <v>44986</v>
      </c>
      <c r="B86" s="23">
        <v>119.53</v>
      </c>
      <c r="C86" s="9">
        <v>63</v>
      </c>
      <c r="D86" s="9">
        <f t="shared" si="0"/>
        <v>4.4422697167222998</v>
      </c>
      <c r="E86">
        <v>63</v>
      </c>
      <c r="F86">
        <v>63</v>
      </c>
      <c r="G86">
        <v>4.4422697170000003</v>
      </c>
      <c r="H86">
        <v>4.7026200839000003</v>
      </c>
    </row>
    <row r="87" spans="1:8">
      <c r="A87" s="5">
        <v>45017</v>
      </c>
      <c r="B87" s="23">
        <v>119.893</v>
      </c>
      <c r="C87" s="9">
        <v>64</v>
      </c>
      <c r="D87" s="9">
        <f t="shared" si="0"/>
        <v>4.4464190819677833</v>
      </c>
      <c r="E87">
        <v>64</v>
      </c>
      <c r="F87">
        <v>64</v>
      </c>
      <c r="G87">
        <v>4.4464190820000002</v>
      </c>
      <c r="H87">
        <v>4.4239100014000003</v>
      </c>
    </row>
    <row r="88" spans="1:8">
      <c r="A88" s="5">
        <v>45047</v>
      </c>
      <c r="B88" s="23">
        <v>120.02</v>
      </c>
      <c r="C88" s="9">
        <v>65</v>
      </c>
      <c r="D88" s="9">
        <f t="shared" si="0"/>
        <v>3.9620255357483138</v>
      </c>
      <c r="E88">
        <v>65</v>
      </c>
      <c r="F88">
        <v>65</v>
      </c>
      <c r="G88">
        <v>3.9620255360000001</v>
      </c>
      <c r="H88">
        <v>4.1451999188000004</v>
      </c>
    </row>
    <row r="89" spans="1:8">
      <c r="A89" s="16">
        <v>45078</v>
      </c>
      <c r="B89" s="23">
        <v>120.221</v>
      </c>
      <c r="C89" s="9">
        <v>66</v>
      </c>
      <c r="D89" s="9">
        <f t="shared" si="0"/>
        <v>3.1984205330700881</v>
      </c>
      <c r="E89">
        <v>66</v>
      </c>
      <c r="F89">
        <v>66</v>
      </c>
      <c r="G89">
        <v>3.1984205330000002</v>
      </c>
      <c r="H89">
        <v>3.2868108348999998</v>
      </c>
    </row>
    <row r="90" spans="1:8">
      <c r="A90" s="5">
        <v>45108</v>
      </c>
      <c r="B90" s="23">
        <v>120.373</v>
      </c>
      <c r="C90" s="9">
        <v>67</v>
      </c>
      <c r="D90" s="9">
        <f t="shared" ref="D90:D100" si="1">100*(B90-B78)/B78</f>
        <v>3.3147084824608912</v>
      </c>
      <c r="E90">
        <v>67</v>
      </c>
      <c r="F90">
        <v>67</v>
      </c>
      <c r="G90">
        <v>3.3147084819999999</v>
      </c>
      <c r="H90">
        <v>3.2133129445000002</v>
      </c>
    </row>
    <row r="91" spans="1:8">
      <c r="A91" s="5">
        <v>45139</v>
      </c>
      <c r="B91" s="23">
        <v>120.803</v>
      </c>
      <c r="C91" s="9">
        <v>68</v>
      </c>
      <c r="D91" s="9">
        <f t="shared" si="1"/>
        <v>3.3475917529301022</v>
      </c>
      <c r="E91">
        <v>68</v>
      </c>
      <c r="F91">
        <v>68</v>
      </c>
      <c r="G91">
        <v>3.3475917530000001</v>
      </c>
      <c r="H91">
        <v>3.139815054</v>
      </c>
    </row>
    <row r="92" spans="1:8">
      <c r="A92" s="5">
        <v>45170</v>
      </c>
      <c r="B92" s="23">
        <v>121.267</v>
      </c>
      <c r="C92" s="9">
        <v>69</v>
      </c>
      <c r="D92" s="9">
        <f t="shared" si="1"/>
        <v>3.369589307329051</v>
      </c>
      <c r="E92">
        <v>69</v>
      </c>
      <c r="F92">
        <v>69</v>
      </c>
      <c r="G92">
        <v>3.369589307</v>
      </c>
      <c r="H92">
        <v>3.0663171636</v>
      </c>
    </row>
    <row r="93" spans="1:8">
      <c r="A93" s="5">
        <v>45200</v>
      </c>
      <c r="B93" s="23">
        <v>121.309</v>
      </c>
      <c r="C93" s="9">
        <v>70</v>
      </c>
      <c r="D93" s="9">
        <f t="shared" si="1"/>
        <v>2.9420749817552307</v>
      </c>
      <c r="E93">
        <v>70</v>
      </c>
      <c r="F93">
        <v>70</v>
      </c>
      <c r="G93">
        <v>2.9420749819999998</v>
      </c>
      <c r="H93">
        <v>2.9928192730999998</v>
      </c>
    </row>
    <row r="94" spans="1:8">
      <c r="A94" s="5">
        <v>45231</v>
      </c>
      <c r="B94" s="23">
        <v>121.29600000000001</v>
      </c>
      <c r="C94" s="9">
        <v>71</v>
      </c>
      <c r="D94" s="9">
        <f t="shared" si="1"/>
        <v>2.7027027027027088</v>
      </c>
      <c r="E94">
        <v>71</v>
      </c>
      <c r="F94">
        <v>71</v>
      </c>
      <c r="G94">
        <v>2.7027027029999999</v>
      </c>
      <c r="H94">
        <v>2.9193213827000002</v>
      </c>
    </row>
    <row r="95" spans="1:8">
      <c r="A95" s="5">
        <v>45261</v>
      </c>
      <c r="B95" s="23">
        <v>121.44799999999999</v>
      </c>
      <c r="C95" s="9">
        <v>72</v>
      </c>
      <c r="D95" s="9">
        <f t="shared" si="1"/>
        <v>2.6193936526176991</v>
      </c>
      <c r="E95">
        <v>72</v>
      </c>
      <c r="F95">
        <v>72</v>
      </c>
      <c r="G95">
        <v>2.6193936529999999</v>
      </c>
      <c r="H95">
        <v>2.8458234922000001</v>
      </c>
    </row>
    <row r="96" spans="1:8">
      <c r="A96" s="5">
        <v>45292</v>
      </c>
      <c r="B96" s="23">
        <v>121.96599999999999</v>
      </c>
      <c r="C96" s="9">
        <v>73</v>
      </c>
      <c r="D96" s="9">
        <f t="shared" si="1"/>
        <v>2.4829637596524679</v>
      </c>
      <c r="E96">
        <v>73</v>
      </c>
      <c r="F96">
        <v>73</v>
      </c>
      <c r="G96">
        <v>2.4829637600000001</v>
      </c>
      <c r="H96">
        <v>2.7723256018</v>
      </c>
    </row>
    <row r="97" spans="1:8">
      <c r="A97" s="5">
        <v>45323</v>
      </c>
      <c r="B97" s="23">
        <v>122.367</v>
      </c>
      <c r="C97" s="9">
        <v>74</v>
      </c>
      <c r="D97" s="9">
        <f t="shared" si="1"/>
        <v>2.4969426900976739</v>
      </c>
      <c r="E97">
        <v>74</v>
      </c>
      <c r="F97">
        <v>74</v>
      </c>
      <c r="G97">
        <v>2.49694269</v>
      </c>
      <c r="H97">
        <v>2.6988277112999999</v>
      </c>
    </row>
    <row r="98" spans="1:8">
      <c r="A98" s="5">
        <v>45352</v>
      </c>
      <c r="B98" s="23">
        <v>122.782</v>
      </c>
      <c r="C98" s="9">
        <v>75</v>
      </c>
      <c r="D98" s="9">
        <f t="shared" si="1"/>
        <v>2.7206559022839416</v>
      </c>
      <c r="E98">
        <v>75</v>
      </c>
      <c r="F98">
        <v>75</v>
      </c>
      <c r="G98">
        <v>2.7206559019999998</v>
      </c>
      <c r="H98">
        <v>2.6253298209000002</v>
      </c>
    </row>
    <row r="99" spans="1:8">
      <c r="A99" s="5">
        <v>45383</v>
      </c>
      <c r="B99" s="23">
        <v>123.10899999999999</v>
      </c>
      <c r="C99" s="9">
        <v>76</v>
      </c>
      <c r="D99" s="9">
        <f t="shared" si="1"/>
        <v>2.6823917993544195</v>
      </c>
      <c r="E99">
        <v>76</v>
      </c>
      <c r="F99">
        <v>76</v>
      </c>
      <c r="G99">
        <v>2.6823917989999999</v>
      </c>
      <c r="H99">
        <v>2.5518319304000001</v>
      </c>
    </row>
    <row r="100" spans="1:8">
      <c r="A100" s="5">
        <v>45413</v>
      </c>
      <c r="B100" s="23">
        <v>123.146</v>
      </c>
      <c r="C100" s="9">
        <v>77</v>
      </c>
      <c r="D100" s="9">
        <f t="shared" si="1"/>
        <v>2.6045659056823904</v>
      </c>
      <c r="E100">
        <v>77</v>
      </c>
      <c r="F100">
        <v>77</v>
      </c>
      <c r="G100">
        <v>2.6045659059999999</v>
      </c>
      <c r="H100">
        <v>2.47833404</v>
      </c>
    </row>
    <row r="101" spans="1:8">
      <c r="A101" s="5">
        <v>45444</v>
      </c>
      <c r="B101" s="23">
        <v>123.24299999999999</v>
      </c>
      <c r="C101" s="9">
        <v>78</v>
      </c>
      <c r="D101" s="9">
        <f>100*(B101-B89)/B89</f>
        <v>2.5137039285981579</v>
      </c>
      <c r="E101">
        <v>78</v>
      </c>
      <c r="F101">
        <v>78</v>
      </c>
      <c r="G101">
        <v>2.5137039290000001</v>
      </c>
      <c r="H101">
        <v>2.4048361494999999</v>
      </c>
    </row>
  </sheetData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2DB4-BAB0-4871-A849-28ED9230076B}">
  <dimension ref="A1:I100"/>
  <sheetViews>
    <sheetView topLeftCell="A84" workbookViewId="0">
      <selection activeCell="H23" sqref="C23:H23"/>
    </sheetView>
  </sheetViews>
  <sheetFormatPr defaultRowHeight="13.2"/>
  <cols>
    <col min="1" max="1" width="13.77734375" customWidth="1"/>
  </cols>
  <sheetData>
    <row r="1" spans="1:2">
      <c r="A1" s="18" t="s">
        <v>0</v>
      </c>
      <c r="B1" s="18"/>
    </row>
    <row r="2" spans="1:2">
      <c r="A2" s="18" t="s">
        <v>1</v>
      </c>
      <c r="B2" s="18"/>
    </row>
    <row r="3" spans="1:2">
      <c r="A3" s="18" t="s">
        <v>2</v>
      </c>
      <c r="B3" s="18"/>
    </row>
    <row r="4" spans="1:2">
      <c r="A4" s="18" t="s">
        <v>3</v>
      </c>
      <c r="B4" s="18"/>
    </row>
    <row r="5" spans="1:2">
      <c r="A5" s="18" t="s">
        <v>4</v>
      </c>
      <c r="B5" s="18"/>
    </row>
    <row r="6" spans="1:2">
      <c r="A6" s="18" t="s">
        <v>5</v>
      </c>
      <c r="B6" s="18"/>
    </row>
    <row r="8" spans="1:2">
      <c r="A8" s="18" t="s">
        <v>6</v>
      </c>
      <c r="B8" s="18" t="s">
        <v>7</v>
      </c>
    </row>
    <row r="10" spans="1:2">
      <c r="A10" s="18" t="s">
        <v>8</v>
      </c>
      <c r="B10" s="18"/>
    </row>
    <row r="11" spans="1:2">
      <c r="A11" s="18" t="s">
        <v>9</v>
      </c>
      <c r="B11" s="18" t="s">
        <v>6</v>
      </c>
    </row>
    <row r="12" spans="1:2">
      <c r="A12" s="19">
        <v>42736</v>
      </c>
      <c r="B12" s="20">
        <v>99.450999999999993</v>
      </c>
    </row>
    <row r="13" spans="1:2">
      <c r="A13" s="19">
        <v>42767</v>
      </c>
      <c r="B13" s="20">
        <v>99.585999999999999</v>
      </c>
    </row>
    <row r="14" spans="1:2">
      <c r="A14" s="19">
        <v>42795</v>
      </c>
      <c r="B14" s="20">
        <v>99.534999999999997</v>
      </c>
    </row>
    <row r="15" spans="1:2">
      <c r="A15" s="19">
        <v>42826</v>
      </c>
      <c r="B15" s="20">
        <v>99.724999999999994</v>
      </c>
    </row>
    <row r="16" spans="1:2">
      <c r="A16" s="19">
        <v>42856</v>
      </c>
      <c r="B16" s="20">
        <v>99.682000000000002</v>
      </c>
    </row>
    <row r="17" spans="1:9">
      <c r="A17" s="19">
        <v>42887</v>
      </c>
      <c r="B17" s="20">
        <v>99.766000000000005</v>
      </c>
    </row>
    <row r="18" spans="1:9">
      <c r="A18" s="19">
        <v>42917</v>
      </c>
      <c r="B18" s="20">
        <v>99.802999999999997</v>
      </c>
    </row>
    <row r="19" spans="1:9">
      <c r="A19" s="19">
        <v>42948</v>
      </c>
      <c r="B19" s="20">
        <v>100.027</v>
      </c>
    </row>
    <row r="20" spans="1:9">
      <c r="A20" s="19">
        <v>42979</v>
      </c>
      <c r="B20" s="20">
        <v>100.4</v>
      </c>
    </row>
    <row r="21" spans="1:9">
      <c r="A21" s="19">
        <v>43009</v>
      </c>
      <c r="B21" s="20">
        <v>100.53100000000001</v>
      </c>
    </row>
    <row r="22" spans="1:9">
      <c r="A22" s="19">
        <v>43040</v>
      </c>
      <c r="B22" s="20">
        <v>100.675</v>
      </c>
    </row>
    <row r="23" spans="1:9" ht="13.8">
      <c r="A23" s="19">
        <v>43070</v>
      </c>
      <c r="B23" s="20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5">
        <v>43101</v>
      </c>
      <c r="B24" s="20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1.9214730728</v>
      </c>
      <c r="I24" t="s">
        <v>144</v>
      </c>
    </row>
    <row r="25" spans="1:9">
      <c r="A25" s="5">
        <v>43132</v>
      </c>
      <c r="B25" s="20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1.9557405768</v>
      </c>
      <c r="I25" t="s">
        <v>192</v>
      </c>
    </row>
    <row r="26" spans="1:9">
      <c r="A26" s="5">
        <v>43160</v>
      </c>
      <c r="B26" s="20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1.9900080808</v>
      </c>
      <c r="I26" t="s">
        <v>12</v>
      </c>
    </row>
    <row r="27" spans="1:9">
      <c r="A27" s="5">
        <v>43191</v>
      </c>
      <c r="B27" s="20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2.0242755847999998</v>
      </c>
      <c r="I27" t="s">
        <v>13</v>
      </c>
    </row>
    <row r="28" spans="1:9">
      <c r="A28" s="5">
        <v>43221</v>
      </c>
      <c r="B28" s="20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2.0585430888</v>
      </c>
      <c r="I28" t="s">
        <v>14</v>
      </c>
    </row>
    <row r="29" spans="1:9">
      <c r="A29" s="5">
        <v>43252</v>
      </c>
      <c r="B29" s="20">
        <v>102.029</v>
      </c>
      <c r="C29" s="9">
        <v>6</v>
      </c>
      <c r="D29" s="9">
        <f t="shared" si="0"/>
        <v>2.2683078403464014</v>
      </c>
      <c r="E29">
        <v>6</v>
      </c>
      <c r="F29">
        <v>6</v>
      </c>
      <c r="G29">
        <v>2.2683078399999999</v>
      </c>
      <c r="H29">
        <v>2.0928105927999998</v>
      </c>
      <c r="I29" t="s">
        <v>146</v>
      </c>
    </row>
    <row r="30" spans="1:9">
      <c r="A30" s="5">
        <v>43282</v>
      </c>
      <c r="B30" s="20">
        <v>102.137</v>
      </c>
      <c r="C30" s="9">
        <v>7</v>
      </c>
      <c r="D30" s="9">
        <f t="shared" si="0"/>
        <v>2.3386070559001264</v>
      </c>
      <c r="E30">
        <v>7</v>
      </c>
      <c r="F30">
        <v>7</v>
      </c>
      <c r="G30">
        <v>2.3386070559999999</v>
      </c>
      <c r="H30">
        <v>2.1270780968</v>
      </c>
      <c r="I30" t="s">
        <v>16</v>
      </c>
    </row>
    <row r="31" spans="1:9">
      <c r="A31" s="5">
        <v>43313</v>
      </c>
      <c r="B31" s="20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2.1613456007999998</v>
      </c>
    </row>
    <row r="32" spans="1:9">
      <c r="A32" s="5">
        <v>43344</v>
      </c>
      <c r="B32" s="20">
        <v>102.41800000000001</v>
      </c>
      <c r="C32" s="9">
        <v>9</v>
      </c>
      <c r="D32" s="9">
        <f t="shared" si="0"/>
        <v>2.0099601593625502</v>
      </c>
      <c r="E32">
        <v>9</v>
      </c>
      <c r="F32">
        <v>9</v>
      </c>
      <c r="G32">
        <v>2.0099601589999998</v>
      </c>
      <c r="H32">
        <v>2.1956131048</v>
      </c>
      <c r="I32" t="s">
        <v>147</v>
      </c>
    </row>
    <row r="33" spans="1:9">
      <c r="A33" s="5">
        <v>43374</v>
      </c>
      <c r="B33" s="20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2.2298806087999998</v>
      </c>
      <c r="I33" t="s">
        <v>148</v>
      </c>
    </row>
    <row r="34" spans="1:9">
      <c r="A34" s="16">
        <v>43405</v>
      </c>
      <c r="B34" s="20">
        <v>102.63</v>
      </c>
      <c r="C34" s="9">
        <v>11</v>
      </c>
      <c r="D34" s="9">
        <f t="shared" si="0"/>
        <v>1.9418922274646122</v>
      </c>
      <c r="E34">
        <v>11</v>
      </c>
      <c r="F34">
        <v>11</v>
      </c>
      <c r="G34">
        <v>1.9418922270000001</v>
      </c>
      <c r="H34">
        <v>1.7453838287000001</v>
      </c>
      <c r="I34" t="s">
        <v>149</v>
      </c>
    </row>
    <row r="35" spans="1:9">
      <c r="A35" s="5">
        <v>43435</v>
      </c>
      <c r="B35" s="20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1.7046582210000001</v>
      </c>
      <c r="I35" t="s">
        <v>150</v>
      </c>
    </row>
    <row r="36" spans="1:9">
      <c r="A36" s="5">
        <v>43466</v>
      </c>
      <c r="B36" s="20">
        <v>102.714</v>
      </c>
      <c r="C36" s="9">
        <v>13</v>
      </c>
      <c r="D36" s="9">
        <f t="shared" si="0"/>
        <v>1.4970503661103376</v>
      </c>
      <c r="E36">
        <v>13</v>
      </c>
      <c r="F36">
        <v>13</v>
      </c>
      <c r="G36">
        <v>1.4970503660000001</v>
      </c>
      <c r="H36">
        <v>1.6639326132000001</v>
      </c>
      <c r="I36" t="s">
        <v>151</v>
      </c>
    </row>
    <row r="37" spans="1:9">
      <c r="A37" s="5">
        <v>43497</v>
      </c>
      <c r="B37" s="20">
        <v>102.86199999999999</v>
      </c>
      <c r="C37" s="9">
        <v>14</v>
      </c>
      <c r="D37" s="9">
        <f t="shared" si="0"/>
        <v>1.4258105229943974</v>
      </c>
      <c r="E37">
        <v>14</v>
      </c>
      <c r="F37">
        <v>14</v>
      </c>
      <c r="G37">
        <v>1.425810523</v>
      </c>
      <c r="H37">
        <v>1.6232070055000001</v>
      </c>
      <c r="I37" t="s">
        <v>152</v>
      </c>
    </row>
    <row r="38" spans="1:9">
      <c r="A38" s="5">
        <v>43525</v>
      </c>
      <c r="B38" s="20">
        <v>103.056</v>
      </c>
      <c r="C38" s="9">
        <v>15</v>
      </c>
      <c r="D38" s="9">
        <f t="shared" si="0"/>
        <v>1.5090027973681066</v>
      </c>
      <c r="E38">
        <v>15</v>
      </c>
      <c r="F38">
        <v>15</v>
      </c>
      <c r="G38">
        <v>1.509002797</v>
      </c>
      <c r="H38">
        <v>1.5824813978000001</v>
      </c>
      <c r="I38" t="s">
        <v>153</v>
      </c>
    </row>
    <row r="39" spans="1:9">
      <c r="A39" s="5">
        <v>43556</v>
      </c>
      <c r="B39" s="20">
        <v>103.371</v>
      </c>
      <c r="C39" s="9">
        <v>16</v>
      </c>
      <c r="D39" s="9">
        <f t="shared" si="0"/>
        <v>1.5771475738458716</v>
      </c>
      <c r="E39">
        <v>16</v>
      </c>
      <c r="F39">
        <v>16</v>
      </c>
      <c r="G39">
        <v>1.5771475740000001</v>
      </c>
      <c r="H39">
        <v>1.5417557900000001</v>
      </c>
      <c r="I39" t="s">
        <v>154</v>
      </c>
    </row>
    <row r="40" spans="1:9">
      <c r="A40" s="5">
        <v>43586</v>
      </c>
      <c r="B40" s="20">
        <v>103.426</v>
      </c>
      <c r="C40" s="9">
        <v>17</v>
      </c>
      <c r="D40" s="9">
        <f t="shared" si="0"/>
        <v>1.4567249683640531</v>
      </c>
      <c r="E40">
        <v>17</v>
      </c>
      <c r="F40">
        <v>17</v>
      </c>
      <c r="G40">
        <v>1.4567249680000001</v>
      </c>
      <c r="H40">
        <v>1.5010301823000001</v>
      </c>
      <c r="I40" t="s">
        <v>155</v>
      </c>
    </row>
    <row r="41" spans="1:9">
      <c r="A41" s="5">
        <v>43617</v>
      </c>
      <c r="B41" s="20">
        <v>103.46899999999999</v>
      </c>
      <c r="C41" s="9">
        <v>18</v>
      </c>
      <c r="D41" s="9">
        <f t="shared" si="0"/>
        <v>1.4113634358858733</v>
      </c>
      <c r="E41">
        <v>18</v>
      </c>
      <c r="F41">
        <v>18</v>
      </c>
      <c r="G41">
        <v>1.411363436</v>
      </c>
      <c r="H41">
        <v>1.4603045746000001</v>
      </c>
      <c r="I41" t="s">
        <v>156</v>
      </c>
    </row>
    <row r="42" spans="1:9">
      <c r="A42" s="5">
        <v>43647</v>
      </c>
      <c r="B42" s="20">
        <v>103.608</v>
      </c>
      <c r="C42" s="9">
        <v>19</v>
      </c>
      <c r="D42" s="9">
        <f t="shared" si="0"/>
        <v>1.4402224463221003</v>
      </c>
      <c r="E42">
        <v>19</v>
      </c>
      <c r="F42">
        <v>19</v>
      </c>
      <c r="G42">
        <v>1.4402224459999999</v>
      </c>
      <c r="H42">
        <v>1.4195789668000001</v>
      </c>
      <c r="I42" t="s">
        <v>157</v>
      </c>
    </row>
    <row r="43" spans="1:9">
      <c r="A43" s="5">
        <v>43678</v>
      </c>
      <c r="B43" s="20">
        <v>103.661</v>
      </c>
      <c r="C43" s="9">
        <v>20</v>
      </c>
      <c r="D43" s="9">
        <f t="shared" si="0"/>
        <v>1.4216108328115244</v>
      </c>
      <c r="E43">
        <v>20</v>
      </c>
      <c r="F43">
        <v>20</v>
      </c>
      <c r="G43">
        <v>1.4216108329999999</v>
      </c>
      <c r="H43">
        <v>1.3788533591000001</v>
      </c>
      <c r="I43" t="s">
        <v>158</v>
      </c>
    </row>
    <row r="44" spans="1:9">
      <c r="A44" s="5">
        <v>43709</v>
      </c>
      <c r="B44" s="20">
        <v>103.754</v>
      </c>
      <c r="C44" s="9">
        <v>21</v>
      </c>
      <c r="D44" s="9">
        <f t="shared" si="0"/>
        <v>1.3044582007069054</v>
      </c>
      <c r="E44">
        <v>21</v>
      </c>
      <c r="F44">
        <v>21</v>
      </c>
      <c r="G44">
        <v>1.3044582010000001</v>
      </c>
      <c r="H44">
        <v>1.3381277514000001</v>
      </c>
      <c r="I44" t="s">
        <v>159</v>
      </c>
    </row>
    <row r="45" spans="1:9">
      <c r="A45" s="5">
        <v>43739</v>
      </c>
      <c r="B45" s="20">
        <v>103.961</v>
      </c>
      <c r="C45" s="9">
        <v>22</v>
      </c>
      <c r="D45" s="9">
        <f t="shared" si="0"/>
        <v>1.3314489010185679</v>
      </c>
      <c r="E45">
        <v>22</v>
      </c>
      <c r="F45">
        <v>22</v>
      </c>
      <c r="G45">
        <v>1.3314489009999999</v>
      </c>
      <c r="H45">
        <v>1.2974021437000001</v>
      </c>
      <c r="I45" t="s">
        <v>160</v>
      </c>
    </row>
    <row r="46" spans="1:9">
      <c r="A46" s="5">
        <v>43770</v>
      </c>
      <c r="B46" s="20">
        <v>103.997</v>
      </c>
      <c r="C46" s="9">
        <v>23</v>
      </c>
      <c r="D46" s="9">
        <f t="shared" si="0"/>
        <v>1.3319692097827189</v>
      </c>
      <c r="E46">
        <v>23</v>
      </c>
      <c r="F46">
        <v>23</v>
      </c>
      <c r="G46">
        <v>1.33196921</v>
      </c>
      <c r="H46">
        <v>1.2566765359000001</v>
      </c>
      <c r="I46" t="s">
        <v>161</v>
      </c>
    </row>
    <row r="47" spans="1:9">
      <c r="A47" s="16">
        <v>43800</v>
      </c>
      <c r="B47" s="20">
        <v>104.282</v>
      </c>
      <c r="C47" s="9">
        <v>24</v>
      </c>
      <c r="D47" s="9">
        <f t="shared" si="0"/>
        <v>1.5394202588095571</v>
      </c>
      <c r="E47">
        <v>24</v>
      </c>
      <c r="F47">
        <v>24</v>
      </c>
      <c r="G47">
        <v>1.5394202589999999</v>
      </c>
      <c r="H47">
        <v>1.4000750136</v>
      </c>
      <c r="I47" t="s">
        <v>162</v>
      </c>
    </row>
    <row r="48" spans="1:9">
      <c r="A48" s="5">
        <v>43831</v>
      </c>
      <c r="B48" s="20">
        <v>104.458</v>
      </c>
      <c r="C48" s="9">
        <v>25</v>
      </c>
      <c r="D48" s="9">
        <f t="shared" si="0"/>
        <v>1.6979184921237609</v>
      </c>
      <c r="E48">
        <v>25</v>
      </c>
      <c r="F48">
        <v>25</v>
      </c>
      <c r="G48">
        <v>1.6979184919999999</v>
      </c>
      <c r="H48">
        <v>1.3312720539</v>
      </c>
      <c r="I48" t="s">
        <v>163</v>
      </c>
    </row>
    <row r="49" spans="1:9">
      <c r="A49" s="5">
        <v>43862</v>
      </c>
      <c r="B49" s="20">
        <v>104.551</v>
      </c>
      <c r="C49" s="9">
        <v>26</v>
      </c>
      <c r="D49" s="9">
        <f t="shared" si="0"/>
        <v>1.6420057941708379</v>
      </c>
      <c r="E49">
        <v>26</v>
      </c>
      <c r="F49">
        <v>26</v>
      </c>
      <c r="G49">
        <v>1.6420057939999999</v>
      </c>
      <c r="H49">
        <v>1.2624690943000001</v>
      </c>
      <c r="I49" t="s">
        <v>164</v>
      </c>
    </row>
    <row r="50" spans="1:9">
      <c r="A50" s="5">
        <v>43891</v>
      </c>
      <c r="B50" s="20">
        <v>104.238</v>
      </c>
      <c r="C50" s="9">
        <v>27</v>
      </c>
      <c r="D50" s="9">
        <f t="shared" si="0"/>
        <v>1.1469492314857963</v>
      </c>
      <c r="E50">
        <v>27</v>
      </c>
      <c r="F50">
        <v>27</v>
      </c>
      <c r="G50">
        <v>1.146949231</v>
      </c>
      <c r="H50">
        <v>1.1936661346999999</v>
      </c>
      <c r="I50" t="s">
        <v>165</v>
      </c>
    </row>
    <row r="51" spans="1:9">
      <c r="A51" s="5">
        <v>43922</v>
      </c>
      <c r="B51" s="20">
        <v>103.79600000000001</v>
      </c>
      <c r="C51" s="9">
        <v>28</v>
      </c>
      <c r="D51" s="9">
        <f t="shared" si="0"/>
        <v>0.41114045525341864</v>
      </c>
      <c r="E51">
        <v>28</v>
      </c>
      <c r="F51">
        <v>28</v>
      </c>
      <c r="G51">
        <v>0.41114045500000002</v>
      </c>
      <c r="H51">
        <v>1.124863175</v>
      </c>
      <c r="I51" t="s">
        <v>166</v>
      </c>
    </row>
    <row r="52" spans="1:9">
      <c r="A52" s="5">
        <v>43952</v>
      </c>
      <c r="B52" s="20">
        <v>103.89</v>
      </c>
      <c r="C52" s="9">
        <v>29</v>
      </c>
      <c r="D52" s="9">
        <f t="shared" si="0"/>
        <v>0.44862993831338216</v>
      </c>
      <c r="E52">
        <v>29</v>
      </c>
      <c r="F52">
        <v>29</v>
      </c>
      <c r="G52">
        <v>0.44862993800000001</v>
      </c>
      <c r="H52">
        <v>1.0560602154000001</v>
      </c>
      <c r="I52" t="s">
        <v>167</v>
      </c>
    </row>
    <row r="53" spans="1:9">
      <c r="A53" s="5">
        <v>43983</v>
      </c>
      <c r="B53" s="20">
        <v>104.199</v>
      </c>
      <c r="C53" s="9">
        <v>30</v>
      </c>
      <c r="D53" s="9">
        <f t="shared" si="0"/>
        <v>0.70552532642627652</v>
      </c>
      <c r="E53">
        <v>30</v>
      </c>
      <c r="F53">
        <v>30</v>
      </c>
      <c r="G53">
        <v>0.70552532599999995</v>
      </c>
      <c r="H53">
        <v>0.9872572557</v>
      </c>
      <c r="I53" t="s">
        <v>168</v>
      </c>
    </row>
    <row r="54" spans="1:9">
      <c r="A54" s="5">
        <v>44013</v>
      </c>
      <c r="B54" s="20">
        <v>104.541</v>
      </c>
      <c r="C54" s="9">
        <v>31</v>
      </c>
      <c r="D54" s="9">
        <f t="shared" si="0"/>
        <v>0.90050961315727807</v>
      </c>
      <c r="E54">
        <v>31</v>
      </c>
      <c r="F54">
        <v>31</v>
      </c>
      <c r="G54">
        <v>0.90050961299999999</v>
      </c>
      <c r="H54">
        <v>0.91845429609999996</v>
      </c>
      <c r="I54" t="s">
        <v>169</v>
      </c>
    </row>
    <row r="55" spans="1:9">
      <c r="A55" s="5">
        <v>44044</v>
      </c>
      <c r="B55" s="20">
        <v>104.869</v>
      </c>
      <c r="C55" s="9">
        <v>32</v>
      </c>
      <c r="D55" s="9">
        <f t="shared" si="0"/>
        <v>1.1653370119910076</v>
      </c>
      <c r="E55">
        <v>32</v>
      </c>
      <c r="F55">
        <v>32</v>
      </c>
      <c r="G55">
        <v>1.1653370119999999</v>
      </c>
      <c r="H55">
        <v>0.84965133650000002</v>
      </c>
      <c r="I55" t="s">
        <v>170</v>
      </c>
    </row>
    <row r="56" spans="1:9">
      <c r="A56" s="5">
        <v>44075</v>
      </c>
      <c r="B56" s="20">
        <v>105.048</v>
      </c>
      <c r="C56" s="9">
        <v>33</v>
      </c>
      <c r="D56" s="9">
        <f t="shared" si="0"/>
        <v>1.2471808315823938</v>
      </c>
      <c r="E56">
        <v>33</v>
      </c>
      <c r="F56">
        <v>33</v>
      </c>
      <c r="G56">
        <v>1.247180832</v>
      </c>
      <c r="H56">
        <v>0.78084837679999997</v>
      </c>
      <c r="I56" t="s">
        <v>171</v>
      </c>
    </row>
    <row r="57" spans="1:9">
      <c r="A57" s="16">
        <v>44105</v>
      </c>
      <c r="B57" s="20">
        <v>105.124</v>
      </c>
      <c r="C57" s="9">
        <v>34</v>
      </c>
      <c r="D57" s="9">
        <f t="shared" si="0"/>
        <v>1.11868873904637</v>
      </c>
      <c r="E57">
        <v>34</v>
      </c>
      <c r="F57">
        <v>34</v>
      </c>
      <c r="G57">
        <v>1.118688739</v>
      </c>
      <c r="H57">
        <v>0.70361757000000003</v>
      </c>
      <c r="I57" t="s">
        <v>172</v>
      </c>
    </row>
    <row r="58" spans="1:9">
      <c r="A58" s="5">
        <v>44136</v>
      </c>
      <c r="B58" s="20">
        <v>105.197</v>
      </c>
      <c r="C58" s="9">
        <v>35</v>
      </c>
      <c r="D58" s="9">
        <f t="shared" si="0"/>
        <v>1.1538794388299689</v>
      </c>
      <c r="E58">
        <v>35</v>
      </c>
      <c r="F58">
        <v>35</v>
      </c>
      <c r="G58">
        <v>1.153879439</v>
      </c>
      <c r="H58">
        <v>1.1316695146</v>
      </c>
      <c r="I58" t="s">
        <v>173</v>
      </c>
    </row>
    <row r="59" spans="1:9">
      <c r="A59" s="5">
        <v>44166</v>
      </c>
      <c r="B59" s="20">
        <v>105.70699999999999</v>
      </c>
      <c r="C59" s="9">
        <v>36</v>
      </c>
      <c r="D59" s="9">
        <f t="shared" si="0"/>
        <v>1.3664870255652914</v>
      </c>
      <c r="E59">
        <v>36</v>
      </c>
      <c r="F59">
        <v>36</v>
      </c>
      <c r="G59">
        <v>1.3664870259999999</v>
      </c>
      <c r="H59">
        <v>1.5597214590999999</v>
      </c>
      <c r="I59" t="s">
        <v>174</v>
      </c>
    </row>
    <row r="60" spans="1:9">
      <c r="A60" s="5">
        <v>44197</v>
      </c>
      <c r="B60" s="20">
        <v>106.145</v>
      </c>
      <c r="C60" s="9">
        <v>37</v>
      </c>
      <c r="D60" s="9">
        <f t="shared" si="0"/>
        <v>1.6150031591644467</v>
      </c>
      <c r="E60">
        <v>37</v>
      </c>
      <c r="F60">
        <v>37</v>
      </c>
      <c r="G60">
        <v>1.615003159</v>
      </c>
      <c r="H60">
        <v>1.9877734036000001</v>
      </c>
      <c r="I60" t="s">
        <v>175</v>
      </c>
    </row>
    <row r="61" spans="1:9">
      <c r="A61" s="5">
        <v>44228</v>
      </c>
      <c r="B61" s="20">
        <v>106.52200000000001</v>
      </c>
      <c r="C61" s="9">
        <v>38</v>
      </c>
      <c r="D61" s="9">
        <f t="shared" si="0"/>
        <v>1.8852043500301323</v>
      </c>
      <c r="E61">
        <v>38</v>
      </c>
      <c r="F61">
        <v>38</v>
      </c>
      <c r="G61">
        <v>1.88520435</v>
      </c>
      <c r="H61">
        <v>2.4158253480999998</v>
      </c>
      <c r="I61" t="s">
        <v>176</v>
      </c>
    </row>
    <row r="62" spans="1:9">
      <c r="A62" s="5">
        <v>44256</v>
      </c>
      <c r="B62" s="20">
        <v>107.066</v>
      </c>
      <c r="C62" s="9">
        <v>39</v>
      </c>
      <c r="D62" s="9">
        <f t="shared" si="0"/>
        <v>2.7130221224505489</v>
      </c>
      <c r="E62">
        <v>39</v>
      </c>
      <c r="F62">
        <v>39</v>
      </c>
      <c r="G62">
        <v>2.7130221219999999</v>
      </c>
      <c r="H62">
        <v>2.8438772926000002</v>
      </c>
      <c r="I62" t="s">
        <v>193</v>
      </c>
    </row>
    <row r="63" spans="1:9">
      <c r="A63" s="5">
        <v>44287</v>
      </c>
      <c r="B63" s="20">
        <v>107.66200000000001</v>
      </c>
      <c r="C63" s="9">
        <v>40</v>
      </c>
      <c r="D63" s="9">
        <f t="shared" si="0"/>
        <v>3.7246136652664839</v>
      </c>
      <c r="E63">
        <v>40</v>
      </c>
      <c r="F63">
        <v>40</v>
      </c>
      <c r="G63">
        <v>3.7246136650000001</v>
      </c>
      <c r="H63">
        <v>3.2719292372000002</v>
      </c>
      <c r="I63" t="s">
        <v>194</v>
      </c>
    </row>
    <row r="64" spans="1:9">
      <c r="A64" s="5">
        <v>44317</v>
      </c>
      <c r="B64" s="20">
        <v>108.20699999999999</v>
      </c>
      <c r="C64" s="9">
        <v>41</v>
      </c>
      <c r="D64" s="9">
        <f t="shared" si="0"/>
        <v>4.1553566272018418</v>
      </c>
      <c r="E64">
        <v>41</v>
      </c>
      <c r="F64">
        <v>41</v>
      </c>
      <c r="G64">
        <v>4.1553566269999997</v>
      </c>
      <c r="H64">
        <v>3.6999811817000001</v>
      </c>
      <c r="I64" t="s">
        <v>195</v>
      </c>
    </row>
    <row r="65" spans="1:9">
      <c r="A65" s="5">
        <v>44348</v>
      </c>
      <c r="B65" s="20">
        <v>108.755</v>
      </c>
      <c r="C65" s="9">
        <v>42</v>
      </c>
      <c r="D65" s="9">
        <f t="shared" si="0"/>
        <v>4.3724028061689628</v>
      </c>
      <c r="E65">
        <v>42</v>
      </c>
      <c r="F65">
        <v>42</v>
      </c>
      <c r="G65">
        <v>4.3724028060000002</v>
      </c>
      <c r="H65">
        <v>4.1280331262000001</v>
      </c>
      <c r="I65" t="s">
        <v>196</v>
      </c>
    </row>
    <row r="66" spans="1:9">
      <c r="A66" s="5">
        <v>44378</v>
      </c>
      <c r="B66" s="20">
        <v>109.28</v>
      </c>
      <c r="C66" s="9">
        <v>43</v>
      </c>
      <c r="D66" s="9">
        <f t="shared" si="0"/>
        <v>4.5331496733339112</v>
      </c>
      <c r="E66">
        <v>43</v>
      </c>
      <c r="F66">
        <v>43</v>
      </c>
      <c r="G66">
        <v>4.5331496729999996</v>
      </c>
      <c r="H66">
        <v>4.5560850707</v>
      </c>
      <c r="I66" t="s">
        <v>197</v>
      </c>
    </row>
    <row r="67" spans="1:9">
      <c r="A67" s="5">
        <v>44409</v>
      </c>
      <c r="B67" s="20">
        <v>109.74</v>
      </c>
      <c r="C67" s="9">
        <v>44</v>
      </c>
      <c r="D67" s="9">
        <f t="shared" si="0"/>
        <v>4.6448426131649914</v>
      </c>
      <c r="E67">
        <v>44</v>
      </c>
      <c r="F67">
        <v>44</v>
      </c>
      <c r="G67">
        <v>4.6448426129999998</v>
      </c>
      <c r="H67">
        <v>4.9841370152</v>
      </c>
    </row>
    <row r="68" spans="1:9">
      <c r="A68" s="16">
        <v>44440</v>
      </c>
      <c r="B68" s="20">
        <v>110.096</v>
      </c>
      <c r="C68" s="9">
        <v>45</v>
      </c>
      <c r="D68" s="9">
        <f t="shared" si="0"/>
        <v>4.8054222831467532</v>
      </c>
      <c r="E68">
        <v>45</v>
      </c>
      <c r="F68">
        <v>45</v>
      </c>
      <c r="G68">
        <v>4.8054222830000004</v>
      </c>
      <c r="H68">
        <v>5.2903558416000003</v>
      </c>
      <c r="I68" t="s">
        <v>182</v>
      </c>
    </row>
    <row r="69" spans="1:9">
      <c r="A69" s="5">
        <v>44470</v>
      </c>
      <c r="B69" s="20">
        <v>110.80800000000001</v>
      </c>
      <c r="C69" s="9">
        <v>46</v>
      </c>
      <c r="D69" s="9">
        <f t="shared" si="0"/>
        <v>5.4069479852364948</v>
      </c>
      <c r="E69">
        <v>46</v>
      </c>
      <c r="F69">
        <v>46</v>
      </c>
      <c r="G69">
        <v>5.4069479850000004</v>
      </c>
      <c r="H69">
        <v>5.5045485372999998</v>
      </c>
      <c r="I69" t="s">
        <v>198</v>
      </c>
    </row>
    <row r="70" spans="1:9">
      <c r="A70" s="5">
        <v>44501</v>
      </c>
      <c r="B70" s="20">
        <v>111.494</v>
      </c>
      <c r="C70" s="9">
        <v>47</v>
      </c>
      <c r="D70" s="9">
        <f t="shared" si="0"/>
        <v>5.9859121457836224</v>
      </c>
      <c r="E70">
        <v>47</v>
      </c>
      <c r="F70">
        <v>47</v>
      </c>
      <c r="G70">
        <v>5.9859121460000004</v>
      </c>
      <c r="H70">
        <v>5.7187412330000003</v>
      </c>
      <c r="I70" t="s">
        <v>200</v>
      </c>
    </row>
    <row r="71" spans="1:9">
      <c r="A71" s="5">
        <v>44531</v>
      </c>
      <c r="B71" s="20">
        <v>112.24</v>
      </c>
      <c r="C71" s="9">
        <v>48</v>
      </c>
      <c r="D71" s="9">
        <f t="shared" si="0"/>
        <v>6.1802908038256712</v>
      </c>
      <c r="E71">
        <v>48</v>
      </c>
      <c r="F71">
        <v>48</v>
      </c>
      <c r="G71">
        <v>6.1802908040000002</v>
      </c>
      <c r="H71">
        <v>5.9329339286999998</v>
      </c>
      <c r="I71" t="s">
        <v>201</v>
      </c>
    </row>
    <row r="72" spans="1:9">
      <c r="A72" s="5">
        <v>44562</v>
      </c>
      <c r="B72" s="20">
        <v>112.82899999999999</v>
      </c>
      <c r="C72" s="9">
        <v>49</v>
      </c>
      <c r="D72" s="9">
        <f t="shared" si="0"/>
        <v>6.2970464930048493</v>
      </c>
      <c r="E72">
        <v>49</v>
      </c>
      <c r="F72">
        <v>49</v>
      </c>
      <c r="G72">
        <v>6.2970464929999999</v>
      </c>
      <c r="H72">
        <v>6.1471266244000002</v>
      </c>
      <c r="I72" t="s">
        <v>199</v>
      </c>
    </row>
    <row r="73" spans="1:9">
      <c r="A73" s="5">
        <v>44593</v>
      </c>
      <c r="B73" s="20">
        <v>113.496</v>
      </c>
      <c r="C73" s="9">
        <v>50</v>
      </c>
      <c r="D73" s="9">
        <f t="shared" si="0"/>
        <v>6.5470043746831541</v>
      </c>
      <c r="E73">
        <v>50</v>
      </c>
      <c r="F73">
        <v>50</v>
      </c>
      <c r="G73">
        <v>6.5470043750000002</v>
      </c>
      <c r="H73">
        <v>6.3613193201999998</v>
      </c>
      <c r="I73" t="s">
        <v>202</v>
      </c>
    </row>
    <row r="74" spans="1:9">
      <c r="A74" s="5">
        <v>44621</v>
      </c>
      <c r="B74" s="20">
        <v>114.446</v>
      </c>
      <c r="C74" s="9">
        <v>51</v>
      </c>
      <c r="D74" s="9">
        <f t="shared" si="0"/>
        <v>6.8929445388825537</v>
      </c>
      <c r="E74">
        <v>51</v>
      </c>
      <c r="F74">
        <v>51</v>
      </c>
      <c r="G74">
        <v>6.8929445390000001</v>
      </c>
      <c r="H74">
        <v>6.5755120159000002</v>
      </c>
    </row>
    <row r="75" spans="1:9">
      <c r="A75" s="5">
        <v>44652</v>
      </c>
      <c r="B75" s="20">
        <v>114.789</v>
      </c>
      <c r="C75" s="9">
        <v>52</v>
      </c>
      <c r="D75" s="9">
        <f t="shared" si="0"/>
        <v>6.619791569913243</v>
      </c>
      <c r="E75">
        <v>52</v>
      </c>
      <c r="F75">
        <v>52</v>
      </c>
      <c r="G75">
        <v>6.6197915700000003</v>
      </c>
      <c r="H75">
        <v>6.7897047115999998</v>
      </c>
    </row>
    <row r="76" spans="1:9">
      <c r="A76" s="5">
        <v>44682</v>
      </c>
      <c r="B76" s="20">
        <v>115.446</v>
      </c>
      <c r="C76" s="9">
        <v>53</v>
      </c>
      <c r="D76" s="9">
        <f t="shared" si="0"/>
        <v>6.6899553633313973</v>
      </c>
      <c r="E76">
        <v>53</v>
      </c>
      <c r="F76">
        <v>53</v>
      </c>
      <c r="G76">
        <v>6.6899553630000002</v>
      </c>
      <c r="H76">
        <v>7.0038974073000002</v>
      </c>
    </row>
    <row r="77" spans="1:9">
      <c r="A77" s="5">
        <v>44713</v>
      </c>
      <c r="B77" s="20">
        <v>116.495</v>
      </c>
      <c r="C77" s="9">
        <v>54</v>
      </c>
      <c r="D77" s="9">
        <f t="shared" si="0"/>
        <v>7.1169141648659915</v>
      </c>
      <c r="E77">
        <v>54</v>
      </c>
      <c r="F77">
        <v>54</v>
      </c>
      <c r="G77">
        <v>7.1169141649999998</v>
      </c>
      <c r="H77">
        <v>7.2180901029999998</v>
      </c>
    </row>
    <row r="78" spans="1:9">
      <c r="A78" s="16">
        <v>44743</v>
      </c>
      <c r="B78" s="20">
        <v>116.511</v>
      </c>
      <c r="C78" s="9">
        <v>55</v>
      </c>
      <c r="D78" s="9">
        <f t="shared" si="0"/>
        <v>6.616947291361635</v>
      </c>
      <c r="E78">
        <v>55</v>
      </c>
      <c r="F78">
        <v>55</v>
      </c>
      <c r="G78">
        <v>6.6169472909999998</v>
      </c>
      <c r="H78">
        <v>6.9323007443</v>
      </c>
    </row>
    <row r="79" spans="1:9">
      <c r="A79" s="5">
        <v>44774</v>
      </c>
      <c r="B79" s="20">
        <v>116.89</v>
      </c>
      <c r="C79" s="9">
        <v>56</v>
      </c>
      <c r="D79" s="9">
        <f t="shared" si="0"/>
        <v>6.5154000364497957</v>
      </c>
      <c r="E79">
        <v>56</v>
      </c>
      <c r="F79">
        <v>56</v>
      </c>
      <c r="G79">
        <v>6.515400036</v>
      </c>
      <c r="H79">
        <v>6.6535906617</v>
      </c>
    </row>
    <row r="80" spans="1:9">
      <c r="A80" s="5">
        <v>44805</v>
      </c>
      <c r="B80" s="20">
        <v>117.31399999999999</v>
      </c>
      <c r="C80" s="9">
        <v>57</v>
      </c>
      <c r="D80" s="9">
        <f t="shared" si="0"/>
        <v>6.5560964976020832</v>
      </c>
      <c r="E80">
        <v>57</v>
      </c>
      <c r="F80">
        <v>57</v>
      </c>
      <c r="G80">
        <v>6.5560964979999996</v>
      </c>
      <c r="H80">
        <v>6.3748805792000001</v>
      </c>
    </row>
    <row r="81" spans="1:8">
      <c r="A81" s="5">
        <v>44835</v>
      </c>
      <c r="B81" s="20">
        <v>117.842</v>
      </c>
      <c r="C81" s="9">
        <v>58</v>
      </c>
      <c r="D81" s="9">
        <f t="shared" si="0"/>
        <v>6.3479171178976168</v>
      </c>
      <c r="E81">
        <v>58</v>
      </c>
      <c r="F81">
        <v>58</v>
      </c>
      <c r="G81">
        <v>6.3479171179999998</v>
      </c>
      <c r="H81">
        <v>6.0961704966000001</v>
      </c>
    </row>
    <row r="82" spans="1:8">
      <c r="A82" s="5">
        <v>44866</v>
      </c>
      <c r="B82" s="20">
        <v>118.104</v>
      </c>
      <c r="C82" s="9">
        <v>59</v>
      </c>
      <c r="D82" s="9">
        <f t="shared" si="0"/>
        <v>5.9285701472724988</v>
      </c>
      <c r="E82">
        <v>59</v>
      </c>
      <c r="F82">
        <v>59</v>
      </c>
      <c r="G82">
        <v>5.9285701470000003</v>
      </c>
      <c r="H82">
        <v>5.8174604141000001</v>
      </c>
    </row>
    <row r="83" spans="1:8">
      <c r="A83" s="5">
        <v>44896</v>
      </c>
      <c r="B83" s="20">
        <v>118.348</v>
      </c>
      <c r="C83" s="9">
        <v>60</v>
      </c>
      <c r="D83" s="9">
        <f t="shared" si="0"/>
        <v>5.441910192444765</v>
      </c>
      <c r="E83">
        <v>60</v>
      </c>
      <c r="F83">
        <v>60</v>
      </c>
      <c r="G83">
        <v>5.4419101919999999</v>
      </c>
      <c r="H83">
        <v>5.5387503315000002</v>
      </c>
    </row>
    <row r="84" spans="1:8">
      <c r="A84" s="5">
        <v>44927</v>
      </c>
      <c r="B84" s="20">
        <v>119.011</v>
      </c>
      <c r="C84" s="9">
        <v>61</v>
      </c>
      <c r="D84" s="9">
        <f t="shared" si="0"/>
        <v>5.4790878231660329</v>
      </c>
      <c r="E84">
        <v>61</v>
      </c>
      <c r="F84">
        <v>61</v>
      </c>
      <c r="G84">
        <v>5.4790878230000004</v>
      </c>
      <c r="H84">
        <v>5.2600402490000002</v>
      </c>
    </row>
    <row r="85" spans="1:8">
      <c r="A85" s="5">
        <v>44958</v>
      </c>
      <c r="B85" s="20">
        <v>119.386</v>
      </c>
      <c r="C85" s="9">
        <v>62</v>
      </c>
      <c r="D85" s="9">
        <f t="shared" si="0"/>
        <v>5.1896102065271021</v>
      </c>
      <c r="E85">
        <v>62</v>
      </c>
      <c r="F85">
        <v>62</v>
      </c>
      <c r="G85">
        <v>5.1896102070000003</v>
      </c>
      <c r="H85">
        <v>4.9813301665000003</v>
      </c>
    </row>
    <row r="86" spans="1:8">
      <c r="A86" s="5">
        <v>44986</v>
      </c>
      <c r="B86" s="20">
        <v>119.53</v>
      </c>
      <c r="C86" s="9">
        <v>63</v>
      </c>
      <c r="D86" s="9">
        <f t="shared" si="0"/>
        <v>4.4422697167222998</v>
      </c>
      <c r="E86">
        <v>63</v>
      </c>
      <c r="F86">
        <v>63</v>
      </c>
      <c r="G86">
        <v>4.4422697170000003</v>
      </c>
      <c r="H86">
        <v>4.7026200839000003</v>
      </c>
    </row>
    <row r="87" spans="1:8">
      <c r="A87" s="5">
        <v>45017</v>
      </c>
      <c r="B87" s="20">
        <v>119.893</v>
      </c>
      <c r="C87" s="9">
        <v>64</v>
      </c>
      <c r="D87" s="9">
        <f t="shared" si="0"/>
        <v>4.4464190819677833</v>
      </c>
      <c r="E87">
        <v>64</v>
      </c>
      <c r="F87">
        <v>64</v>
      </c>
      <c r="G87">
        <v>4.4464190820000002</v>
      </c>
      <c r="H87">
        <v>4.4239100014000003</v>
      </c>
    </row>
    <row r="88" spans="1:8">
      <c r="A88" s="5">
        <v>45047</v>
      </c>
      <c r="B88" s="20">
        <v>120.02</v>
      </c>
      <c r="C88" s="9">
        <v>65</v>
      </c>
      <c r="D88" s="9">
        <f t="shared" si="0"/>
        <v>3.9620255357483138</v>
      </c>
      <c r="E88">
        <v>65</v>
      </c>
      <c r="F88">
        <v>65</v>
      </c>
      <c r="G88">
        <v>3.9620255360000001</v>
      </c>
      <c r="H88">
        <v>4.1451999188000004</v>
      </c>
    </row>
    <row r="89" spans="1:8">
      <c r="A89" s="16">
        <v>45078</v>
      </c>
      <c r="B89" s="20">
        <v>120.221</v>
      </c>
      <c r="C89" s="9">
        <v>66</v>
      </c>
      <c r="D89" s="9">
        <f t="shared" si="0"/>
        <v>3.1984205330700881</v>
      </c>
      <c r="E89">
        <v>66</v>
      </c>
      <c r="F89">
        <v>66</v>
      </c>
      <c r="G89">
        <v>3.1984205330000002</v>
      </c>
      <c r="H89">
        <v>3.3105210142999999</v>
      </c>
    </row>
    <row r="90" spans="1:8">
      <c r="A90" s="5">
        <v>45108</v>
      </c>
      <c r="B90" s="20">
        <v>120.373</v>
      </c>
      <c r="C90" s="9">
        <v>67</v>
      </c>
      <c r="D90" s="9">
        <f t="shared" ref="D90:D100" si="1">100*(B90-B78)/B78</f>
        <v>3.3147084824608912</v>
      </c>
      <c r="E90">
        <v>67</v>
      </c>
      <c r="F90">
        <v>67</v>
      </c>
      <c r="G90">
        <v>3.3147084819999999</v>
      </c>
      <c r="H90">
        <v>3.2303935498</v>
      </c>
    </row>
    <row r="91" spans="1:8">
      <c r="A91" s="5">
        <v>45139</v>
      </c>
      <c r="B91" s="20">
        <v>120.803</v>
      </c>
      <c r="C91" s="9">
        <v>68</v>
      </c>
      <c r="D91" s="9">
        <f t="shared" si="1"/>
        <v>3.3475917529301022</v>
      </c>
      <c r="E91">
        <v>68</v>
      </c>
      <c r="F91">
        <v>68</v>
      </c>
      <c r="G91">
        <v>3.3475917530000001</v>
      </c>
      <c r="H91">
        <v>3.1502660853000002</v>
      </c>
    </row>
    <row r="92" spans="1:8">
      <c r="A92" s="5">
        <v>45170</v>
      </c>
      <c r="B92" s="20">
        <v>121.267</v>
      </c>
      <c r="C92" s="9">
        <v>69</v>
      </c>
      <c r="D92" s="9">
        <f t="shared" si="1"/>
        <v>3.369589307329051</v>
      </c>
      <c r="E92">
        <v>69</v>
      </c>
      <c r="F92">
        <v>69</v>
      </c>
      <c r="G92">
        <v>3.369589307</v>
      </c>
      <c r="H92">
        <v>3.0701386207999999</v>
      </c>
    </row>
    <row r="93" spans="1:8">
      <c r="A93" s="5">
        <v>45200</v>
      </c>
      <c r="B93" s="20">
        <v>121.309</v>
      </c>
      <c r="C93" s="9">
        <v>70</v>
      </c>
      <c r="D93" s="9">
        <f t="shared" si="1"/>
        <v>2.9420749817552307</v>
      </c>
      <c r="E93">
        <v>70</v>
      </c>
      <c r="F93">
        <v>70</v>
      </c>
      <c r="G93">
        <v>2.9420749819999998</v>
      </c>
      <c r="H93">
        <v>2.9900111563</v>
      </c>
    </row>
    <row r="94" spans="1:8">
      <c r="A94" s="5">
        <v>45231</v>
      </c>
      <c r="B94" s="20">
        <v>121.29600000000001</v>
      </c>
      <c r="C94" s="9">
        <v>71</v>
      </c>
      <c r="D94" s="9">
        <f t="shared" si="1"/>
        <v>2.7027027027027088</v>
      </c>
      <c r="E94">
        <v>71</v>
      </c>
      <c r="F94">
        <v>71</v>
      </c>
      <c r="G94">
        <v>2.7027027029999999</v>
      </c>
      <c r="H94">
        <v>2.9098836918000002</v>
      </c>
    </row>
    <row r="95" spans="1:8">
      <c r="A95" s="5">
        <v>45261</v>
      </c>
      <c r="B95" s="20">
        <v>121.44799999999999</v>
      </c>
      <c r="C95" s="9">
        <v>72</v>
      </c>
      <c r="D95" s="9">
        <f t="shared" si="1"/>
        <v>2.6193936526176991</v>
      </c>
      <c r="E95">
        <v>72</v>
      </c>
      <c r="F95">
        <v>72</v>
      </c>
      <c r="G95">
        <v>2.6193936529999999</v>
      </c>
      <c r="H95">
        <v>2.8297562272999999</v>
      </c>
    </row>
    <row r="96" spans="1:8">
      <c r="A96" s="5">
        <v>45292</v>
      </c>
      <c r="B96" s="20">
        <v>121.96599999999999</v>
      </c>
      <c r="C96" s="9">
        <v>73</v>
      </c>
      <c r="D96" s="9">
        <f t="shared" si="1"/>
        <v>2.4829637596524679</v>
      </c>
      <c r="E96">
        <v>73</v>
      </c>
      <c r="F96">
        <v>73</v>
      </c>
      <c r="G96">
        <v>2.4829637600000001</v>
      </c>
      <c r="H96">
        <v>2.7496287628</v>
      </c>
    </row>
    <row r="97" spans="1:8">
      <c r="A97" s="5">
        <v>45323</v>
      </c>
      <c r="B97" s="20">
        <v>122.367</v>
      </c>
      <c r="C97" s="9">
        <v>74</v>
      </c>
      <c r="D97" s="9">
        <f t="shared" si="1"/>
        <v>2.4969426900976739</v>
      </c>
      <c r="E97">
        <v>74</v>
      </c>
      <c r="F97">
        <v>74</v>
      </c>
      <c r="G97">
        <v>2.49694269</v>
      </c>
      <c r="H97">
        <v>2.6695012984000002</v>
      </c>
    </row>
    <row r="98" spans="1:8">
      <c r="A98" s="5">
        <v>45352</v>
      </c>
      <c r="B98" s="20">
        <v>122.782</v>
      </c>
      <c r="C98" s="9">
        <v>75</v>
      </c>
      <c r="D98" s="9">
        <f t="shared" si="1"/>
        <v>2.7206559022839416</v>
      </c>
      <c r="E98">
        <v>75</v>
      </c>
      <c r="F98">
        <v>75</v>
      </c>
      <c r="G98">
        <v>2.7206559019999998</v>
      </c>
      <c r="H98">
        <v>2.5893738338999999</v>
      </c>
    </row>
    <row r="99" spans="1:8">
      <c r="A99" s="5">
        <v>45383</v>
      </c>
      <c r="B99" s="20">
        <v>123.10599999999999</v>
      </c>
      <c r="C99" s="9">
        <v>76</v>
      </c>
      <c r="D99" s="9">
        <f t="shared" si="1"/>
        <v>2.679889568198305</v>
      </c>
      <c r="E99">
        <v>76</v>
      </c>
      <c r="F99">
        <v>76</v>
      </c>
      <c r="G99">
        <v>2.6798895680000001</v>
      </c>
      <c r="H99">
        <v>2.5092463694</v>
      </c>
    </row>
    <row r="100" spans="1:8">
      <c r="A100" s="5">
        <v>45413</v>
      </c>
      <c r="B100" s="20">
        <v>123.096</v>
      </c>
      <c r="C100" s="9">
        <v>77</v>
      </c>
      <c r="D100" s="9">
        <f t="shared" si="1"/>
        <v>2.5629061823029557</v>
      </c>
      <c r="E100">
        <v>77</v>
      </c>
      <c r="F100">
        <v>77</v>
      </c>
      <c r="G100">
        <v>2.5629061819999999</v>
      </c>
      <c r="H100">
        <v>2.4291189049000002</v>
      </c>
    </row>
  </sheetData>
  <phoneticPr fontId="2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"/>
  <sheetViews>
    <sheetView topLeftCell="A48" workbookViewId="0">
      <selection activeCell="K77" sqref="K77"/>
    </sheetView>
  </sheetViews>
  <sheetFormatPr defaultRowHeight="13.2"/>
  <cols>
    <col min="1" max="1" width="14.6640625" customWidth="1"/>
    <col min="2" max="2" width="8.5546875" customWidth="1"/>
    <col min="3" max="4" width="8.88671875" style="9"/>
    <col min="5" max="6" width="3.554687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8" spans="1:2">
      <c r="A8" t="s">
        <v>6</v>
      </c>
      <c r="B8" t="s">
        <v>7</v>
      </c>
    </row>
    <row r="10" spans="1:2">
      <c r="A10" t="s">
        <v>8</v>
      </c>
    </row>
    <row r="11" spans="1:2">
      <c r="A11" t="s">
        <v>9</v>
      </c>
      <c r="B11" t="s">
        <v>6</v>
      </c>
    </row>
    <row r="12" spans="1:2">
      <c r="A12" s="1">
        <v>42736</v>
      </c>
      <c r="B12" s="2">
        <v>99.450999999999993</v>
      </c>
    </row>
    <row r="13" spans="1:2">
      <c r="A13" s="1">
        <v>42767</v>
      </c>
      <c r="B13" s="2">
        <v>99.585999999999999</v>
      </c>
    </row>
    <row r="14" spans="1:2">
      <c r="A14" s="1">
        <v>42795</v>
      </c>
      <c r="B14" s="2">
        <v>99.534999999999997</v>
      </c>
    </row>
    <row r="15" spans="1:2">
      <c r="A15" s="1">
        <v>42826</v>
      </c>
      <c r="B15" s="2">
        <v>99.724999999999994</v>
      </c>
    </row>
    <row r="16" spans="1:2">
      <c r="A16" s="1">
        <v>42856</v>
      </c>
      <c r="B16" s="2">
        <v>99.682000000000002</v>
      </c>
    </row>
    <row r="17" spans="1:9">
      <c r="A17" s="1">
        <v>42887</v>
      </c>
      <c r="B17" s="2">
        <v>99.766000000000005</v>
      </c>
    </row>
    <row r="18" spans="1:9">
      <c r="A18" s="1">
        <v>42917</v>
      </c>
      <c r="B18" s="2">
        <v>99.802999999999997</v>
      </c>
    </row>
    <row r="19" spans="1:9">
      <c r="A19" s="1">
        <v>42948</v>
      </c>
      <c r="B19" s="2">
        <v>100.027</v>
      </c>
    </row>
    <row r="20" spans="1:9">
      <c r="A20" s="1">
        <v>42979</v>
      </c>
      <c r="B20" s="2">
        <v>100.4</v>
      </c>
    </row>
    <row r="21" spans="1:9">
      <c r="A21" s="1">
        <v>43009</v>
      </c>
      <c r="B21" s="2">
        <v>100.53100000000001</v>
      </c>
    </row>
    <row r="22" spans="1:9">
      <c r="A22" s="1">
        <v>43040</v>
      </c>
      <c r="B22" s="2">
        <v>100.675</v>
      </c>
    </row>
    <row r="23" spans="1:9" ht="13.8">
      <c r="A23" s="1">
        <v>43070</v>
      </c>
      <c r="B23" s="2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5">
        <v>43101</v>
      </c>
      <c r="B24" s="2">
        <v>101.199</v>
      </c>
      <c r="C24" s="9">
        <v>1</v>
      </c>
      <c r="D24" s="9">
        <f>100*(B24-B12)/B12</f>
        <v>1.7576494957315711</v>
      </c>
      <c r="E24">
        <v>1</v>
      </c>
      <c r="F24">
        <v>1</v>
      </c>
      <c r="G24">
        <v>1.757649496</v>
      </c>
      <c r="H24">
        <v>1.9214730728</v>
      </c>
      <c r="I24" t="s">
        <v>144</v>
      </c>
    </row>
    <row r="25" spans="1:9">
      <c r="A25" s="5">
        <v>43132</v>
      </c>
      <c r="B25" s="2">
        <v>101.416</v>
      </c>
      <c r="C25" s="9">
        <v>2</v>
      </c>
      <c r="D25" s="9">
        <f>100*(B25-B13)/B13</f>
        <v>1.8376076958608623</v>
      </c>
      <c r="E25">
        <v>2</v>
      </c>
      <c r="F25">
        <v>2</v>
      </c>
      <c r="G25">
        <v>1.8376076960000001</v>
      </c>
      <c r="H25">
        <v>1.9557405768</v>
      </c>
      <c r="I25" t="s">
        <v>145</v>
      </c>
    </row>
    <row r="26" spans="1:9">
      <c r="A26" s="5">
        <v>43160</v>
      </c>
      <c r="B26" s="2">
        <v>101.524</v>
      </c>
      <c r="C26" s="9">
        <v>3</v>
      </c>
      <c r="D26" s="9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1.9900080808</v>
      </c>
      <c r="I26" t="s">
        <v>12</v>
      </c>
    </row>
    <row r="27" spans="1:9">
      <c r="A27" s="5">
        <v>43191</v>
      </c>
      <c r="B27" s="2">
        <v>101.76600000000001</v>
      </c>
      <c r="C27" s="9">
        <v>4</v>
      </c>
      <c r="D27" s="9">
        <f t="shared" si="0"/>
        <v>2.0466282276259826</v>
      </c>
      <c r="E27">
        <v>4</v>
      </c>
      <c r="F27">
        <v>4</v>
      </c>
      <c r="G27">
        <v>2.0466282279999999</v>
      </c>
      <c r="H27">
        <v>2.0242755847999998</v>
      </c>
      <c r="I27" t="s">
        <v>13</v>
      </c>
    </row>
    <row r="28" spans="1:9">
      <c r="A28" s="5">
        <v>43221</v>
      </c>
      <c r="B28" s="2">
        <v>101.941</v>
      </c>
      <c r="C28" s="9">
        <v>5</v>
      </c>
      <c r="D28" s="9">
        <f t="shared" si="0"/>
        <v>2.2662065367869828</v>
      </c>
      <c r="E28">
        <v>5</v>
      </c>
      <c r="F28">
        <v>5</v>
      </c>
      <c r="G28">
        <v>2.266206537</v>
      </c>
      <c r="H28">
        <v>2.0585430888</v>
      </c>
      <c r="I28" t="s">
        <v>14</v>
      </c>
    </row>
    <row r="29" spans="1:9">
      <c r="A29" s="5">
        <v>43252</v>
      </c>
      <c r="B29" s="2">
        <v>102.029</v>
      </c>
      <c r="C29" s="9">
        <v>6</v>
      </c>
      <c r="D29" s="9">
        <f t="shared" si="0"/>
        <v>2.2683078403464014</v>
      </c>
      <c r="E29">
        <v>6</v>
      </c>
      <c r="F29">
        <v>6</v>
      </c>
      <c r="G29">
        <v>2.2683078399999999</v>
      </c>
      <c r="H29">
        <v>2.0928105927999998</v>
      </c>
      <c r="I29" t="s">
        <v>146</v>
      </c>
    </row>
    <row r="30" spans="1:9">
      <c r="A30" s="5">
        <v>43282</v>
      </c>
      <c r="B30" s="2">
        <v>102.137</v>
      </c>
      <c r="C30" s="9">
        <v>7</v>
      </c>
      <c r="D30" s="9">
        <f t="shared" si="0"/>
        <v>2.3386070559001264</v>
      </c>
      <c r="E30">
        <v>7</v>
      </c>
      <c r="F30">
        <v>7</v>
      </c>
      <c r="G30">
        <v>2.3386070559999999</v>
      </c>
      <c r="H30">
        <v>2.1270780968</v>
      </c>
      <c r="I30" t="s">
        <v>16</v>
      </c>
    </row>
    <row r="31" spans="1:9">
      <c r="A31" s="5">
        <v>43313</v>
      </c>
      <c r="B31" s="2">
        <v>102.208</v>
      </c>
      <c r="C31" s="9">
        <v>8</v>
      </c>
      <c r="D31" s="9">
        <f t="shared" si="0"/>
        <v>2.1804112889519804</v>
      </c>
      <c r="E31">
        <v>8</v>
      </c>
      <c r="F31">
        <v>8</v>
      </c>
      <c r="G31">
        <v>2.1804112889999998</v>
      </c>
      <c r="H31">
        <v>2.1613456007999998</v>
      </c>
    </row>
    <row r="32" spans="1:9">
      <c r="A32" s="5">
        <v>43344</v>
      </c>
      <c r="B32" s="2">
        <v>102.41800000000001</v>
      </c>
      <c r="C32" s="9">
        <v>9</v>
      </c>
      <c r="D32" s="9">
        <f>100*(B32-B20)/B20</f>
        <v>2.0099601593625502</v>
      </c>
      <c r="E32">
        <v>9</v>
      </c>
      <c r="F32">
        <v>9</v>
      </c>
      <c r="G32">
        <v>2.0099601589999998</v>
      </c>
      <c r="H32">
        <v>2.1956131048</v>
      </c>
      <c r="I32" t="s">
        <v>147</v>
      </c>
    </row>
    <row r="33" spans="1:9">
      <c r="A33" s="5">
        <v>43374</v>
      </c>
      <c r="B33" s="2">
        <v>102.595</v>
      </c>
      <c r="C33" s="9">
        <v>10</v>
      </c>
      <c r="D33" s="9">
        <f t="shared" si="0"/>
        <v>2.0530980493579025</v>
      </c>
      <c r="E33">
        <v>10</v>
      </c>
      <c r="F33">
        <v>10</v>
      </c>
      <c r="G33">
        <v>2.0530980489999999</v>
      </c>
      <c r="H33">
        <v>2.2298806087999998</v>
      </c>
      <c r="I33" t="s">
        <v>148</v>
      </c>
    </row>
    <row r="34" spans="1:9">
      <c r="A34" s="16">
        <v>43405</v>
      </c>
      <c r="B34" s="13">
        <v>102.63</v>
      </c>
      <c r="C34" s="14">
        <v>11</v>
      </c>
      <c r="D34" s="14">
        <f t="shared" si="0"/>
        <v>1.9418922274646122</v>
      </c>
      <c r="E34" s="14">
        <v>11</v>
      </c>
      <c r="F34" s="14">
        <v>11</v>
      </c>
      <c r="G34" s="14">
        <v>1.9418922270000001</v>
      </c>
      <c r="H34" s="14">
        <v>1.7453838287000001</v>
      </c>
      <c r="I34" t="s">
        <v>149</v>
      </c>
    </row>
    <row r="35" spans="1:9">
      <c r="A35" s="5">
        <v>43435</v>
      </c>
      <c r="B35" s="2">
        <v>102.70099999999999</v>
      </c>
      <c r="C35" s="9">
        <v>12</v>
      </c>
      <c r="D35" s="9">
        <f t="shared" si="0"/>
        <v>1.8646908878110666</v>
      </c>
      <c r="E35">
        <v>12</v>
      </c>
      <c r="F35">
        <v>12</v>
      </c>
      <c r="G35">
        <v>1.8646908879999999</v>
      </c>
      <c r="H35">
        <v>1.7046582210000001</v>
      </c>
      <c r="I35" t="s">
        <v>150</v>
      </c>
    </row>
    <row r="36" spans="1:9">
      <c r="A36" s="5">
        <v>43466</v>
      </c>
      <c r="B36" s="2">
        <v>102.714</v>
      </c>
      <c r="C36" s="9">
        <v>13</v>
      </c>
      <c r="D36" s="9">
        <f t="shared" si="0"/>
        <v>1.4970503661103376</v>
      </c>
      <c r="E36">
        <v>13</v>
      </c>
      <c r="F36">
        <v>13</v>
      </c>
      <c r="G36">
        <v>1.4970503660000001</v>
      </c>
      <c r="H36">
        <v>1.6639326132000001</v>
      </c>
      <c r="I36" t="s">
        <v>151</v>
      </c>
    </row>
    <row r="37" spans="1:9">
      <c r="A37" s="5">
        <v>43497</v>
      </c>
      <c r="B37" s="2">
        <v>102.86199999999999</v>
      </c>
      <c r="C37" s="9">
        <v>14</v>
      </c>
      <c r="D37" s="9">
        <f t="shared" si="0"/>
        <v>1.4258105229943974</v>
      </c>
      <c r="E37">
        <v>14</v>
      </c>
      <c r="F37">
        <v>14</v>
      </c>
      <c r="G37">
        <v>1.425810523</v>
      </c>
      <c r="H37">
        <v>1.6232070055000001</v>
      </c>
      <c r="I37" t="s">
        <v>152</v>
      </c>
    </row>
    <row r="38" spans="1:9">
      <c r="A38" s="5">
        <v>43525</v>
      </c>
      <c r="B38" s="2">
        <v>103.056</v>
      </c>
      <c r="C38" s="9">
        <v>15</v>
      </c>
      <c r="D38" s="9">
        <f t="shared" si="0"/>
        <v>1.5090027973681066</v>
      </c>
      <c r="E38">
        <v>15</v>
      </c>
      <c r="F38">
        <v>15</v>
      </c>
      <c r="G38">
        <v>1.509002797</v>
      </c>
      <c r="H38">
        <v>1.5824813978000001</v>
      </c>
      <c r="I38" t="s">
        <v>153</v>
      </c>
    </row>
    <row r="39" spans="1:9">
      <c r="A39" s="5">
        <v>43556</v>
      </c>
      <c r="B39" s="2">
        <v>103.371</v>
      </c>
      <c r="C39" s="9">
        <v>16</v>
      </c>
      <c r="D39" s="9">
        <f t="shared" si="0"/>
        <v>1.5771475738458716</v>
      </c>
      <c r="E39">
        <v>16</v>
      </c>
      <c r="F39">
        <v>16</v>
      </c>
      <c r="G39">
        <v>1.5771475740000001</v>
      </c>
      <c r="H39">
        <v>1.5417557900000001</v>
      </c>
      <c r="I39" t="s">
        <v>154</v>
      </c>
    </row>
    <row r="40" spans="1:9">
      <c r="A40" s="5">
        <v>43586</v>
      </c>
      <c r="B40" s="2">
        <v>103.426</v>
      </c>
      <c r="C40" s="9">
        <v>17</v>
      </c>
      <c r="D40" s="9">
        <f t="shared" si="0"/>
        <v>1.4567249683640531</v>
      </c>
      <c r="E40">
        <v>17</v>
      </c>
      <c r="F40">
        <v>17</v>
      </c>
      <c r="G40">
        <v>1.4567249680000001</v>
      </c>
      <c r="H40">
        <v>1.5010301823000001</v>
      </c>
      <c r="I40" t="s">
        <v>155</v>
      </c>
    </row>
    <row r="41" spans="1:9">
      <c r="A41" s="5">
        <v>43617</v>
      </c>
      <c r="B41" s="2">
        <v>103.46899999999999</v>
      </c>
      <c r="C41" s="9">
        <v>18</v>
      </c>
      <c r="D41" s="9">
        <f t="shared" si="0"/>
        <v>1.4113634358858733</v>
      </c>
      <c r="E41">
        <v>18</v>
      </c>
      <c r="F41">
        <v>18</v>
      </c>
      <c r="G41">
        <v>1.411363436</v>
      </c>
      <c r="H41">
        <v>1.4603045746000001</v>
      </c>
      <c r="I41" t="s">
        <v>156</v>
      </c>
    </row>
    <row r="42" spans="1:9">
      <c r="A42" s="5">
        <v>43647</v>
      </c>
      <c r="B42" s="2">
        <v>103.608</v>
      </c>
      <c r="C42" s="9">
        <v>19</v>
      </c>
      <c r="D42" s="9">
        <f t="shared" si="0"/>
        <v>1.4402224463221003</v>
      </c>
      <c r="E42">
        <v>19</v>
      </c>
      <c r="F42">
        <v>19</v>
      </c>
      <c r="G42">
        <v>1.4402224459999999</v>
      </c>
      <c r="H42">
        <v>1.4195789668000001</v>
      </c>
      <c r="I42" t="s">
        <v>157</v>
      </c>
    </row>
    <row r="43" spans="1:9">
      <c r="A43" s="5">
        <v>43678</v>
      </c>
      <c r="B43" s="2">
        <v>103.661</v>
      </c>
      <c r="C43" s="9">
        <v>20</v>
      </c>
      <c r="D43" s="9">
        <f t="shared" si="0"/>
        <v>1.4216108328115244</v>
      </c>
      <c r="E43">
        <v>20</v>
      </c>
      <c r="F43">
        <v>20</v>
      </c>
      <c r="G43">
        <v>1.4216108329999999</v>
      </c>
      <c r="H43">
        <v>1.3788533591000001</v>
      </c>
      <c r="I43" t="s">
        <v>158</v>
      </c>
    </row>
    <row r="44" spans="1:9">
      <c r="A44" s="5">
        <v>43709</v>
      </c>
      <c r="B44" s="2">
        <v>103.754</v>
      </c>
      <c r="C44" s="9">
        <v>21</v>
      </c>
      <c r="D44" s="9">
        <f t="shared" si="0"/>
        <v>1.3044582007069054</v>
      </c>
      <c r="E44">
        <v>21</v>
      </c>
      <c r="F44">
        <v>21</v>
      </c>
      <c r="G44">
        <v>1.3044582010000001</v>
      </c>
      <c r="H44">
        <v>1.3381277514000001</v>
      </c>
      <c r="I44" t="s">
        <v>159</v>
      </c>
    </row>
    <row r="45" spans="1:9">
      <c r="A45" s="5">
        <v>43739</v>
      </c>
      <c r="B45" s="2">
        <v>103.961</v>
      </c>
      <c r="C45" s="9">
        <v>22</v>
      </c>
      <c r="D45" s="9">
        <f t="shared" si="0"/>
        <v>1.3314489010185679</v>
      </c>
      <c r="E45">
        <v>22</v>
      </c>
      <c r="F45">
        <v>22</v>
      </c>
      <c r="G45">
        <v>1.3314489009999999</v>
      </c>
      <c r="H45">
        <v>1.2974021437000001</v>
      </c>
      <c r="I45" t="s">
        <v>160</v>
      </c>
    </row>
    <row r="46" spans="1:9">
      <c r="A46" s="5">
        <v>43770</v>
      </c>
      <c r="B46" s="2">
        <v>103.997</v>
      </c>
      <c r="C46" s="9">
        <v>23</v>
      </c>
      <c r="D46" s="9">
        <f t="shared" si="0"/>
        <v>1.3319692097827189</v>
      </c>
      <c r="E46">
        <v>23</v>
      </c>
      <c r="F46">
        <v>23</v>
      </c>
      <c r="G46">
        <v>1.33196921</v>
      </c>
      <c r="H46">
        <v>1.2566765359000001</v>
      </c>
      <c r="I46" t="s">
        <v>161</v>
      </c>
    </row>
    <row r="47" spans="1:9">
      <c r="A47" s="16">
        <v>43800</v>
      </c>
      <c r="B47" s="13">
        <v>104.282</v>
      </c>
      <c r="C47" s="14">
        <v>24</v>
      </c>
      <c r="D47" s="14">
        <f t="shared" si="0"/>
        <v>1.5394202588095571</v>
      </c>
      <c r="E47" s="14">
        <v>24</v>
      </c>
      <c r="F47" s="14">
        <v>24</v>
      </c>
      <c r="G47" s="14">
        <v>1.5394202589999999</v>
      </c>
      <c r="H47" s="14">
        <v>1.4000750136</v>
      </c>
      <c r="I47" t="s">
        <v>162</v>
      </c>
    </row>
    <row r="48" spans="1:9">
      <c r="A48" s="5">
        <v>43831</v>
      </c>
      <c r="B48" s="2">
        <v>104.458</v>
      </c>
      <c r="C48" s="9">
        <v>25</v>
      </c>
      <c r="D48" s="9">
        <f t="shared" si="0"/>
        <v>1.6979184921237609</v>
      </c>
      <c r="E48">
        <v>25</v>
      </c>
      <c r="F48">
        <v>25</v>
      </c>
      <c r="G48">
        <v>1.6979184919999999</v>
      </c>
      <c r="H48">
        <v>1.3312720539</v>
      </c>
      <c r="I48" t="s">
        <v>163</v>
      </c>
    </row>
    <row r="49" spans="1:9">
      <c r="A49" s="5">
        <v>43862</v>
      </c>
      <c r="B49" s="2">
        <v>104.551</v>
      </c>
      <c r="C49" s="9">
        <v>26</v>
      </c>
      <c r="D49" s="9">
        <f t="shared" si="0"/>
        <v>1.6420057941708379</v>
      </c>
      <c r="E49">
        <v>26</v>
      </c>
      <c r="F49">
        <v>26</v>
      </c>
      <c r="G49">
        <v>1.6420057939999999</v>
      </c>
      <c r="H49">
        <v>1.2624690943000001</v>
      </c>
      <c r="I49" t="s">
        <v>164</v>
      </c>
    </row>
    <row r="50" spans="1:9">
      <c r="A50" s="5">
        <v>43891</v>
      </c>
      <c r="B50" s="2">
        <v>104.238</v>
      </c>
      <c r="C50" s="9">
        <v>27</v>
      </c>
      <c r="D50" s="9">
        <f t="shared" si="0"/>
        <v>1.1469492314857963</v>
      </c>
      <c r="E50">
        <v>27</v>
      </c>
      <c r="F50">
        <v>27</v>
      </c>
      <c r="G50">
        <v>1.146949231</v>
      </c>
      <c r="H50">
        <v>1.1936661346999999</v>
      </c>
      <c r="I50" t="s">
        <v>165</v>
      </c>
    </row>
    <row r="51" spans="1:9">
      <c r="A51" s="5">
        <v>43922</v>
      </c>
      <c r="B51" s="2">
        <v>103.79600000000001</v>
      </c>
      <c r="C51" s="9">
        <v>28</v>
      </c>
      <c r="D51" s="9">
        <f t="shared" si="0"/>
        <v>0.41114045525341864</v>
      </c>
      <c r="E51">
        <v>28</v>
      </c>
      <c r="F51">
        <v>28</v>
      </c>
      <c r="G51">
        <v>0.41114045500000002</v>
      </c>
      <c r="H51">
        <v>1.124863175</v>
      </c>
      <c r="I51" t="s">
        <v>166</v>
      </c>
    </row>
    <row r="52" spans="1:9">
      <c r="A52" s="5">
        <v>43952</v>
      </c>
      <c r="B52" s="2">
        <v>103.89</v>
      </c>
      <c r="C52" s="9">
        <v>29</v>
      </c>
      <c r="D52" s="9">
        <f t="shared" si="0"/>
        <v>0.44862993831338216</v>
      </c>
      <c r="E52">
        <v>29</v>
      </c>
      <c r="F52">
        <v>29</v>
      </c>
      <c r="G52">
        <v>0.44862993800000001</v>
      </c>
      <c r="H52">
        <v>1.0560602154000001</v>
      </c>
      <c r="I52" t="s">
        <v>167</v>
      </c>
    </row>
    <row r="53" spans="1:9">
      <c r="A53" s="5">
        <v>43983</v>
      </c>
      <c r="B53" s="2">
        <v>104.199</v>
      </c>
      <c r="C53" s="9">
        <v>30</v>
      </c>
      <c r="D53" s="9">
        <f t="shared" si="0"/>
        <v>0.70552532642627652</v>
      </c>
      <c r="E53">
        <v>30</v>
      </c>
      <c r="F53">
        <v>30</v>
      </c>
      <c r="G53">
        <v>0.70552532599999995</v>
      </c>
      <c r="H53">
        <v>0.9872572557</v>
      </c>
      <c r="I53" t="s">
        <v>168</v>
      </c>
    </row>
    <row r="54" spans="1:9">
      <c r="A54" s="5">
        <v>44013</v>
      </c>
      <c r="B54" s="2">
        <v>104.541</v>
      </c>
      <c r="C54" s="9">
        <v>31</v>
      </c>
      <c r="D54" s="9">
        <f t="shared" si="0"/>
        <v>0.90050961315727807</v>
      </c>
      <c r="E54">
        <v>31</v>
      </c>
      <c r="F54">
        <v>31</v>
      </c>
      <c r="G54">
        <v>0.90050961299999999</v>
      </c>
      <c r="H54">
        <v>0.91845429609999996</v>
      </c>
      <c r="I54" t="s">
        <v>169</v>
      </c>
    </row>
    <row r="55" spans="1:9">
      <c r="A55" s="5">
        <v>44044</v>
      </c>
      <c r="B55" s="2">
        <v>104.869</v>
      </c>
      <c r="C55" s="9">
        <v>32</v>
      </c>
      <c r="D55" s="9">
        <f t="shared" si="0"/>
        <v>1.1653370119910076</v>
      </c>
      <c r="E55">
        <v>32</v>
      </c>
      <c r="F55">
        <v>32</v>
      </c>
      <c r="G55">
        <v>1.1653370119999999</v>
      </c>
      <c r="H55">
        <v>0.84965133650000002</v>
      </c>
      <c r="I55" t="s">
        <v>170</v>
      </c>
    </row>
    <row r="56" spans="1:9">
      <c r="A56" s="5">
        <v>44075</v>
      </c>
      <c r="B56" s="2">
        <v>105.048</v>
      </c>
      <c r="C56" s="9">
        <v>33</v>
      </c>
      <c r="D56" s="9">
        <f t="shared" si="0"/>
        <v>1.2471808315823938</v>
      </c>
      <c r="E56">
        <v>33</v>
      </c>
      <c r="F56">
        <v>33</v>
      </c>
      <c r="G56">
        <v>1.247180832</v>
      </c>
      <c r="H56">
        <v>0.78084837679999997</v>
      </c>
      <c r="I56" t="s">
        <v>171</v>
      </c>
    </row>
    <row r="57" spans="1:9">
      <c r="A57" s="16">
        <v>44105</v>
      </c>
      <c r="B57" s="13">
        <v>105.124</v>
      </c>
      <c r="C57" s="14">
        <v>34</v>
      </c>
      <c r="D57" s="14">
        <f t="shared" si="0"/>
        <v>1.11868873904637</v>
      </c>
      <c r="E57" s="14">
        <v>34</v>
      </c>
      <c r="F57" s="14">
        <v>34</v>
      </c>
      <c r="G57" s="14">
        <v>1.118688739</v>
      </c>
      <c r="H57" s="14">
        <v>0.70361757000000003</v>
      </c>
      <c r="I57" t="s">
        <v>172</v>
      </c>
    </row>
    <row r="58" spans="1:9">
      <c r="A58" s="5">
        <v>44136</v>
      </c>
      <c r="B58" s="2">
        <v>105.197</v>
      </c>
      <c r="C58" s="9">
        <v>35</v>
      </c>
      <c r="D58" s="9">
        <f t="shared" si="0"/>
        <v>1.1538794388299689</v>
      </c>
      <c r="E58">
        <v>35</v>
      </c>
      <c r="F58">
        <v>35</v>
      </c>
      <c r="G58">
        <v>1.153879439</v>
      </c>
      <c r="H58">
        <v>1.1316695146</v>
      </c>
      <c r="I58" t="s">
        <v>173</v>
      </c>
    </row>
    <row r="59" spans="1:9">
      <c r="A59" s="5">
        <v>44166</v>
      </c>
      <c r="B59" s="2">
        <v>105.70699999999999</v>
      </c>
      <c r="C59" s="9">
        <v>36</v>
      </c>
      <c r="D59" s="9">
        <f t="shared" si="0"/>
        <v>1.3664870255652914</v>
      </c>
      <c r="E59">
        <v>36</v>
      </c>
      <c r="F59">
        <v>36</v>
      </c>
      <c r="G59">
        <v>1.3664870259999999</v>
      </c>
      <c r="H59">
        <v>1.5597214590999999</v>
      </c>
      <c r="I59" t="s">
        <v>174</v>
      </c>
    </row>
    <row r="60" spans="1:9">
      <c r="A60" s="5">
        <v>44197</v>
      </c>
      <c r="B60" s="2">
        <v>106.145</v>
      </c>
      <c r="C60" s="9">
        <v>37</v>
      </c>
      <c r="D60" s="9">
        <f t="shared" si="0"/>
        <v>1.6150031591644467</v>
      </c>
      <c r="E60">
        <v>37</v>
      </c>
      <c r="F60">
        <v>37</v>
      </c>
      <c r="G60">
        <v>1.615003159</v>
      </c>
      <c r="H60">
        <v>1.9877734036000001</v>
      </c>
      <c r="I60" t="s">
        <v>175</v>
      </c>
    </row>
    <row r="61" spans="1:9">
      <c r="A61" s="5">
        <v>44228</v>
      </c>
      <c r="B61" s="2">
        <v>106.52200000000001</v>
      </c>
      <c r="C61" s="9">
        <v>38</v>
      </c>
      <c r="D61" s="9">
        <f t="shared" si="0"/>
        <v>1.8852043500301323</v>
      </c>
      <c r="E61">
        <v>38</v>
      </c>
      <c r="F61">
        <v>38</v>
      </c>
      <c r="G61">
        <v>1.88520435</v>
      </c>
      <c r="H61">
        <v>2.4158253480999998</v>
      </c>
      <c r="I61" t="s">
        <v>176</v>
      </c>
    </row>
    <row r="62" spans="1:9">
      <c r="A62" s="5">
        <v>44256</v>
      </c>
      <c r="B62" s="2">
        <v>107.066</v>
      </c>
      <c r="C62" s="9">
        <v>39</v>
      </c>
      <c r="D62" s="9">
        <f t="shared" si="0"/>
        <v>2.7130221224505489</v>
      </c>
      <c r="E62">
        <v>39</v>
      </c>
      <c r="F62">
        <v>39</v>
      </c>
      <c r="G62">
        <v>2.7130221219999999</v>
      </c>
      <c r="H62">
        <v>2.8438772926000002</v>
      </c>
      <c r="I62" t="s">
        <v>177</v>
      </c>
    </row>
    <row r="63" spans="1:9">
      <c r="A63" s="5">
        <v>44287</v>
      </c>
      <c r="B63" s="2">
        <v>107.66200000000001</v>
      </c>
      <c r="C63" s="9">
        <v>40</v>
      </c>
      <c r="D63" s="9">
        <f t="shared" si="0"/>
        <v>3.7246136652664839</v>
      </c>
      <c r="E63">
        <v>40</v>
      </c>
      <c r="F63">
        <v>40</v>
      </c>
      <c r="G63">
        <v>3.7246136650000001</v>
      </c>
      <c r="H63">
        <v>3.2719292372000002</v>
      </c>
      <c r="I63" t="s">
        <v>178</v>
      </c>
    </row>
    <row r="64" spans="1:9">
      <c r="A64" s="5">
        <v>44317</v>
      </c>
      <c r="B64" s="2">
        <v>108.20699999999999</v>
      </c>
      <c r="C64" s="9">
        <v>41</v>
      </c>
      <c r="D64" s="9">
        <f t="shared" si="0"/>
        <v>4.1553566272018418</v>
      </c>
      <c r="E64">
        <v>41</v>
      </c>
      <c r="F64">
        <v>41</v>
      </c>
      <c r="G64">
        <v>4.1553566269999997</v>
      </c>
      <c r="H64">
        <v>3.6999811817000001</v>
      </c>
      <c r="I64" t="s">
        <v>179</v>
      </c>
    </row>
    <row r="65" spans="1:12">
      <c r="A65" s="5">
        <v>44348</v>
      </c>
      <c r="B65" s="2">
        <v>108.755</v>
      </c>
      <c r="C65" s="9">
        <v>42</v>
      </c>
      <c r="D65" s="9">
        <f t="shared" si="0"/>
        <v>4.3724028061689628</v>
      </c>
      <c r="E65">
        <v>42</v>
      </c>
      <c r="F65">
        <v>42</v>
      </c>
      <c r="G65">
        <v>4.3724028060000002</v>
      </c>
      <c r="H65">
        <v>4.1280331262000001</v>
      </c>
      <c r="I65" t="s">
        <v>180</v>
      </c>
    </row>
    <row r="66" spans="1:12">
      <c r="A66" s="5">
        <v>44378</v>
      </c>
      <c r="B66" s="2">
        <v>109.28</v>
      </c>
      <c r="C66" s="9">
        <v>43</v>
      </c>
      <c r="D66" s="9">
        <f t="shared" si="0"/>
        <v>4.5331496733339112</v>
      </c>
      <c r="E66">
        <v>43</v>
      </c>
      <c r="F66">
        <v>43</v>
      </c>
      <c r="G66">
        <v>4.5331496729999996</v>
      </c>
      <c r="H66">
        <v>4.5560850707</v>
      </c>
      <c r="I66" t="s">
        <v>181</v>
      </c>
    </row>
    <row r="67" spans="1:12">
      <c r="A67" s="5">
        <v>44409</v>
      </c>
      <c r="B67" s="2">
        <v>109.74</v>
      </c>
      <c r="C67" s="9">
        <v>44</v>
      </c>
      <c r="D67" s="9">
        <f t="shared" si="0"/>
        <v>4.6448426131649914</v>
      </c>
      <c r="E67">
        <v>44</v>
      </c>
      <c r="F67">
        <v>44</v>
      </c>
      <c r="G67">
        <v>4.6448426129999998</v>
      </c>
      <c r="H67">
        <v>4.9841370152</v>
      </c>
    </row>
    <row r="68" spans="1:12">
      <c r="A68" s="16">
        <v>44440</v>
      </c>
      <c r="B68" s="13">
        <v>110.096</v>
      </c>
      <c r="C68" s="14">
        <v>45</v>
      </c>
      <c r="D68" s="14">
        <f t="shared" si="0"/>
        <v>4.8054222831467532</v>
      </c>
      <c r="E68" s="14">
        <v>45</v>
      </c>
      <c r="F68" s="14">
        <v>45</v>
      </c>
      <c r="G68" s="14">
        <v>4.8054222830000004</v>
      </c>
      <c r="H68" s="14">
        <v>5.2903558416000003</v>
      </c>
      <c r="I68" t="s">
        <v>182</v>
      </c>
    </row>
    <row r="69" spans="1:12">
      <c r="A69" s="5">
        <v>44470</v>
      </c>
      <c r="B69" s="2">
        <v>110.80800000000001</v>
      </c>
      <c r="C69" s="9">
        <v>46</v>
      </c>
      <c r="D69" s="9">
        <f t="shared" si="0"/>
        <v>5.4069479852364948</v>
      </c>
      <c r="E69">
        <v>46</v>
      </c>
      <c r="F69">
        <v>46</v>
      </c>
      <c r="G69">
        <v>5.4069479850000004</v>
      </c>
      <c r="H69">
        <v>5.5045485372999998</v>
      </c>
      <c r="I69" t="s">
        <v>184</v>
      </c>
      <c r="J69" t="s">
        <v>185</v>
      </c>
      <c r="K69" t="s">
        <v>186</v>
      </c>
      <c r="L69" t="s">
        <v>187</v>
      </c>
    </row>
    <row r="70" spans="1:12">
      <c r="A70" s="5">
        <v>44501</v>
      </c>
      <c r="B70" s="2">
        <v>111.494</v>
      </c>
      <c r="C70" s="9">
        <v>47</v>
      </c>
      <c r="D70" s="9">
        <f t="shared" si="0"/>
        <v>5.9859121457836224</v>
      </c>
      <c r="E70">
        <v>47</v>
      </c>
      <c r="F70">
        <v>47</v>
      </c>
      <c r="G70">
        <v>5.9859121460000004</v>
      </c>
      <c r="H70">
        <v>5.7187412330000003</v>
      </c>
      <c r="I70" t="s">
        <v>188</v>
      </c>
      <c r="J70">
        <v>13</v>
      </c>
      <c r="K70">
        <v>93.273297446699999</v>
      </c>
      <c r="L70">
        <v>7.1748690344000003</v>
      </c>
    </row>
    <row r="71" spans="1:12">
      <c r="A71" s="5">
        <v>44531</v>
      </c>
      <c r="B71" s="2">
        <v>112.24</v>
      </c>
      <c r="C71" s="9">
        <v>48</v>
      </c>
      <c r="D71" s="9">
        <f t="shared" si="0"/>
        <v>6.1802908038256712</v>
      </c>
      <c r="E71">
        <v>48</v>
      </c>
      <c r="F71">
        <v>48</v>
      </c>
      <c r="G71">
        <v>6.1802908040000002</v>
      </c>
      <c r="H71">
        <v>5.9329339286999998</v>
      </c>
      <c r="I71" t="s">
        <v>189</v>
      </c>
      <c r="J71">
        <v>62</v>
      </c>
      <c r="K71">
        <v>4.6698434582999999</v>
      </c>
      <c r="L71">
        <v>7.5320055799999994E-2</v>
      </c>
    </row>
    <row r="72" spans="1:12">
      <c r="A72" s="5">
        <v>44562</v>
      </c>
      <c r="B72" s="2">
        <v>112.82899999999999</v>
      </c>
      <c r="C72" s="9">
        <v>49</v>
      </c>
      <c r="D72" s="9">
        <f t="shared" si="0"/>
        <v>6.2970464930048493</v>
      </c>
      <c r="E72">
        <v>49</v>
      </c>
      <c r="F72">
        <v>49</v>
      </c>
      <c r="G72">
        <v>6.2970464929999999</v>
      </c>
      <c r="H72">
        <v>6.1471266244000002</v>
      </c>
      <c r="I72" t="s">
        <v>190</v>
      </c>
      <c r="J72">
        <v>75</v>
      </c>
      <c r="K72">
        <v>289.0120040855</v>
      </c>
    </row>
    <row r="73" spans="1:12">
      <c r="A73" s="5">
        <v>44593</v>
      </c>
      <c r="B73" s="2">
        <v>113.496</v>
      </c>
      <c r="C73" s="9">
        <v>50</v>
      </c>
      <c r="D73" s="9">
        <f t="shared" si="0"/>
        <v>6.5470043746831541</v>
      </c>
      <c r="E73">
        <v>50</v>
      </c>
      <c r="F73">
        <v>50</v>
      </c>
      <c r="G73">
        <v>6.5470043750000002</v>
      </c>
      <c r="H73">
        <v>6.3613193201999998</v>
      </c>
      <c r="I73" t="s">
        <v>183</v>
      </c>
    </row>
    <row r="74" spans="1:12">
      <c r="A74" s="5">
        <v>44621</v>
      </c>
      <c r="B74" s="2">
        <v>114.446</v>
      </c>
      <c r="C74" s="9">
        <v>51</v>
      </c>
      <c r="D74" s="9">
        <f t="shared" si="0"/>
        <v>6.8929445388825537</v>
      </c>
      <c r="E74">
        <v>51</v>
      </c>
      <c r="F74">
        <v>51</v>
      </c>
      <c r="G74">
        <v>6.8929445390000001</v>
      </c>
      <c r="H74">
        <v>6.5755120159000002</v>
      </c>
    </row>
    <row r="75" spans="1:12">
      <c r="A75" s="5">
        <v>44652</v>
      </c>
      <c r="B75" s="2">
        <v>114.789</v>
      </c>
      <c r="C75" s="9">
        <v>52</v>
      </c>
      <c r="D75" s="9">
        <f t="shared" si="0"/>
        <v>6.619791569913243</v>
      </c>
      <c r="E75">
        <v>52</v>
      </c>
      <c r="F75">
        <v>52</v>
      </c>
      <c r="G75">
        <v>6.6197915700000003</v>
      </c>
      <c r="H75">
        <v>6.7897047115999998</v>
      </c>
      <c r="K75">
        <f>1-(K71/K72)</f>
        <v>0.98384204326364766</v>
      </c>
    </row>
    <row r="76" spans="1:12">
      <c r="A76" s="5">
        <v>44682</v>
      </c>
      <c r="B76" s="2">
        <v>115.446</v>
      </c>
      <c r="C76" s="9">
        <v>53</v>
      </c>
      <c r="D76" s="9">
        <f t="shared" si="0"/>
        <v>6.6899553633313973</v>
      </c>
      <c r="E76">
        <v>53</v>
      </c>
      <c r="F76">
        <v>53</v>
      </c>
      <c r="G76">
        <v>6.6899553630000002</v>
      </c>
      <c r="H76">
        <v>7.0038974073000002</v>
      </c>
    </row>
    <row r="77" spans="1:12">
      <c r="A77" s="5">
        <v>44713</v>
      </c>
      <c r="B77" s="2">
        <v>116.495</v>
      </c>
      <c r="C77" s="9">
        <v>54</v>
      </c>
      <c r="D77" s="9">
        <f t="shared" si="0"/>
        <v>7.1169141648659915</v>
      </c>
      <c r="E77">
        <v>54</v>
      </c>
      <c r="F77">
        <v>54</v>
      </c>
      <c r="G77">
        <v>7.1169141649999998</v>
      </c>
      <c r="H77">
        <v>7.2180901029999998</v>
      </c>
      <c r="K77" s="17"/>
    </row>
    <row r="78" spans="1:12">
      <c r="A78" s="16">
        <v>44743</v>
      </c>
      <c r="B78" s="13">
        <v>116.511</v>
      </c>
      <c r="C78" s="14">
        <v>55</v>
      </c>
      <c r="D78" s="14">
        <f t="shared" si="0"/>
        <v>6.616947291361635</v>
      </c>
      <c r="E78" s="14">
        <v>55</v>
      </c>
      <c r="F78" s="14">
        <v>55</v>
      </c>
      <c r="G78" s="14">
        <v>6.6169472909999998</v>
      </c>
      <c r="H78" s="14">
        <v>6.9323007443</v>
      </c>
    </row>
    <row r="79" spans="1:12">
      <c r="A79" s="5">
        <v>44774</v>
      </c>
      <c r="B79" s="2">
        <v>116.89</v>
      </c>
      <c r="C79" s="9">
        <v>56</v>
      </c>
      <c r="D79" s="9">
        <f t="shared" si="0"/>
        <v>6.5154000364497957</v>
      </c>
      <c r="E79">
        <v>56</v>
      </c>
      <c r="F79">
        <v>56</v>
      </c>
      <c r="G79">
        <v>6.515400036</v>
      </c>
      <c r="H79">
        <v>6.6535906617</v>
      </c>
    </row>
    <row r="80" spans="1:12">
      <c r="A80" s="5">
        <v>44805</v>
      </c>
      <c r="B80" s="2">
        <v>117.31399999999999</v>
      </c>
      <c r="C80" s="9">
        <v>57</v>
      </c>
      <c r="D80" s="9">
        <f t="shared" si="0"/>
        <v>6.5560964976020832</v>
      </c>
      <c r="E80">
        <v>57</v>
      </c>
      <c r="F80">
        <v>57</v>
      </c>
      <c r="G80">
        <v>6.5560964979999996</v>
      </c>
      <c r="H80">
        <v>6.3748805792000001</v>
      </c>
    </row>
    <row r="81" spans="1:8">
      <c r="A81" s="5">
        <v>44835</v>
      </c>
      <c r="B81" s="2">
        <v>117.842</v>
      </c>
      <c r="C81" s="9">
        <v>58</v>
      </c>
      <c r="D81" s="9">
        <f t="shared" si="0"/>
        <v>6.3479171178976168</v>
      </c>
      <c r="E81">
        <v>58</v>
      </c>
      <c r="F81">
        <v>58</v>
      </c>
      <c r="G81">
        <v>6.3479171179999998</v>
      </c>
      <c r="H81">
        <v>6.0961704966000001</v>
      </c>
    </row>
    <row r="82" spans="1:8">
      <c r="A82" s="5">
        <v>44866</v>
      </c>
      <c r="B82" s="2">
        <v>118.104</v>
      </c>
      <c r="C82" s="9">
        <v>59</v>
      </c>
      <c r="D82" s="9">
        <f t="shared" si="0"/>
        <v>5.9285701472724988</v>
      </c>
      <c r="E82">
        <v>59</v>
      </c>
      <c r="F82">
        <v>59</v>
      </c>
      <c r="G82">
        <v>5.9285701470000003</v>
      </c>
      <c r="H82">
        <v>5.8174604141000001</v>
      </c>
    </row>
    <row r="83" spans="1:8">
      <c r="A83" s="5">
        <v>44896</v>
      </c>
      <c r="B83" s="2">
        <v>118.348</v>
      </c>
      <c r="C83" s="9">
        <v>60</v>
      </c>
      <c r="D83" s="9">
        <f t="shared" si="0"/>
        <v>5.441910192444765</v>
      </c>
      <c r="E83">
        <v>60</v>
      </c>
      <c r="F83">
        <v>60</v>
      </c>
      <c r="G83">
        <v>5.4419101919999999</v>
      </c>
      <c r="H83">
        <v>5.5387503315000002</v>
      </c>
    </row>
    <row r="84" spans="1:8">
      <c r="A84" s="5">
        <v>44927</v>
      </c>
      <c r="B84" s="2">
        <v>119.011</v>
      </c>
      <c r="C84" s="9">
        <v>61</v>
      </c>
      <c r="D84" s="9">
        <f t="shared" si="0"/>
        <v>5.4790878231660329</v>
      </c>
      <c r="E84">
        <v>61</v>
      </c>
      <c r="F84">
        <v>61</v>
      </c>
      <c r="G84">
        <v>5.4790878230000004</v>
      </c>
      <c r="H84">
        <v>5.2600402490000002</v>
      </c>
    </row>
    <row r="85" spans="1:8">
      <c r="A85" s="5">
        <v>44958</v>
      </c>
      <c r="B85" s="2">
        <v>119.386</v>
      </c>
      <c r="C85" s="9">
        <v>62</v>
      </c>
      <c r="D85" s="9">
        <f t="shared" si="0"/>
        <v>5.1896102065271021</v>
      </c>
      <c r="E85">
        <v>62</v>
      </c>
      <c r="F85">
        <v>62</v>
      </c>
      <c r="G85">
        <v>5.1896102070000003</v>
      </c>
      <c r="H85">
        <v>4.9813301665000003</v>
      </c>
    </row>
    <row r="86" spans="1:8">
      <c r="A86" s="5">
        <v>44986</v>
      </c>
      <c r="B86" s="2">
        <v>119.53</v>
      </c>
      <c r="C86" s="9">
        <v>63</v>
      </c>
      <c r="D86" s="9">
        <f t="shared" si="0"/>
        <v>4.4422697167222998</v>
      </c>
      <c r="E86">
        <v>63</v>
      </c>
      <c r="F86">
        <v>63</v>
      </c>
      <c r="G86">
        <v>4.4422697170000003</v>
      </c>
      <c r="H86">
        <v>4.7026200839000003</v>
      </c>
    </row>
    <row r="87" spans="1:8">
      <c r="A87" s="5">
        <v>45017</v>
      </c>
      <c r="B87" s="2">
        <v>119.893</v>
      </c>
      <c r="C87" s="9">
        <v>64</v>
      </c>
      <c r="D87" s="9">
        <f t="shared" si="0"/>
        <v>4.4464190819677833</v>
      </c>
      <c r="E87">
        <v>64</v>
      </c>
      <c r="F87">
        <v>64</v>
      </c>
      <c r="G87">
        <v>4.4464190820000002</v>
      </c>
      <c r="H87">
        <v>4.4239100014000003</v>
      </c>
    </row>
    <row r="88" spans="1:8">
      <c r="A88" s="5">
        <v>45047</v>
      </c>
      <c r="B88" s="2">
        <v>120.02</v>
      </c>
      <c r="C88" s="9">
        <v>65</v>
      </c>
      <c r="D88" s="9">
        <f t="shared" si="0"/>
        <v>3.9620255357483138</v>
      </c>
      <c r="E88">
        <v>65</v>
      </c>
      <c r="F88">
        <v>65</v>
      </c>
      <c r="G88">
        <v>3.9620255360000001</v>
      </c>
      <c r="H88">
        <v>4.1451999188000004</v>
      </c>
    </row>
    <row r="89" spans="1:8">
      <c r="A89" s="16">
        <v>45078</v>
      </c>
      <c r="B89" s="13">
        <v>120.221</v>
      </c>
      <c r="C89" s="14">
        <v>66</v>
      </c>
      <c r="D89" s="14">
        <f t="shared" si="0"/>
        <v>3.1984205330700881</v>
      </c>
      <c r="E89" s="14">
        <v>66</v>
      </c>
      <c r="F89" s="14">
        <v>66</v>
      </c>
      <c r="G89" s="14">
        <v>3.1984205330000002</v>
      </c>
      <c r="H89" s="14">
        <v>3.3406167437000001</v>
      </c>
    </row>
    <row r="90" spans="1:8">
      <c r="A90" s="5">
        <v>45108</v>
      </c>
      <c r="B90" s="2">
        <v>120.373</v>
      </c>
      <c r="C90" s="9">
        <v>67</v>
      </c>
      <c r="D90" s="9">
        <f t="shared" ref="D90:D98" si="1">100*(B90-B78)/B78</f>
        <v>3.3147084824608912</v>
      </c>
      <c r="E90">
        <v>67</v>
      </c>
      <c r="F90">
        <v>67</v>
      </c>
      <c r="G90">
        <v>3.3147084819999999</v>
      </c>
      <c r="H90">
        <v>3.2504697869000001</v>
      </c>
    </row>
    <row r="91" spans="1:8">
      <c r="A91" s="5">
        <v>45139</v>
      </c>
      <c r="B91" s="2">
        <v>120.803</v>
      </c>
      <c r="C91" s="9">
        <v>68</v>
      </c>
      <c r="D91" s="9">
        <f t="shared" si="1"/>
        <v>3.3475917529301022</v>
      </c>
      <c r="E91">
        <v>68</v>
      </c>
      <c r="F91">
        <v>68</v>
      </c>
      <c r="G91">
        <v>3.3475917530000001</v>
      </c>
      <c r="H91">
        <v>3.1603228301000001</v>
      </c>
    </row>
    <row r="92" spans="1:8">
      <c r="A92" s="5">
        <v>45170</v>
      </c>
      <c r="B92" s="2">
        <v>121.267</v>
      </c>
      <c r="C92" s="9">
        <v>69</v>
      </c>
      <c r="D92" s="9">
        <f t="shared" si="1"/>
        <v>3.369589307329051</v>
      </c>
      <c r="E92">
        <v>69</v>
      </c>
      <c r="F92">
        <v>69</v>
      </c>
      <c r="G92">
        <v>3.369589307</v>
      </c>
      <c r="H92">
        <v>3.0701758733000002</v>
      </c>
    </row>
    <row r="93" spans="1:8">
      <c r="A93" s="5">
        <v>45200</v>
      </c>
      <c r="B93" s="2">
        <v>121.309</v>
      </c>
      <c r="C93" s="9">
        <v>70</v>
      </c>
      <c r="D93" s="9">
        <f t="shared" si="1"/>
        <v>2.9420749817552307</v>
      </c>
      <c r="E93">
        <v>70</v>
      </c>
      <c r="F93">
        <v>70</v>
      </c>
      <c r="G93">
        <v>2.9420749819999998</v>
      </c>
      <c r="H93">
        <v>2.9800289164999998</v>
      </c>
    </row>
    <row r="94" spans="1:8">
      <c r="A94" s="5">
        <v>45231</v>
      </c>
      <c r="B94" s="2">
        <v>121.29600000000001</v>
      </c>
      <c r="C94" s="9">
        <v>71</v>
      </c>
      <c r="D94" s="9">
        <f t="shared" si="1"/>
        <v>2.7027027027027088</v>
      </c>
      <c r="E94">
        <v>71</v>
      </c>
      <c r="F94">
        <v>71</v>
      </c>
      <c r="G94">
        <v>2.7027027029999999</v>
      </c>
      <c r="H94">
        <v>2.8898819596999998</v>
      </c>
    </row>
    <row r="95" spans="1:8">
      <c r="A95" s="5">
        <v>45261</v>
      </c>
      <c r="B95" s="2">
        <v>121.44799999999999</v>
      </c>
      <c r="C95" s="9">
        <v>72</v>
      </c>
      <c r="D95" s="9">
        <f t="shared" si="1"/>
        <v>2.6193936526176991</v>
      </c>
      <c r="E95">
        <v>72</v>
      </c>
      <c r="F95">
        <v>72</v>
      </c>
      <c r="G95">
        <v>2.6193936529999999</v>
      </c>
      <c r="H95">
        <v>2.7997350028999999</v>
      </c>
    </row>
    <row r="96" spans="1:8">
      <c r="A96" s="5">
        <v>45292</v>
      </c>
      <c r="B96" s="2">
        <v>121.934</v>
      </c>
      <c r="C96" s="9">
        <v>73</v>
      </c>
      <c r="D96" s="9">
        <f t="shared" si="1"/>
        <v>2.4560754888203626</v>
      </c>
      <c r="E96">
        <v>73</v>
      </c>
      <c r="F96">
        <v>73</v>
      </c>
      <c r="G96">
        <v>2.4560754889999998</v>
      </c>
      <c r="H96">
        <v>2.7095880460999999</v>
      </c>
    </row>
    <row r="97" spans="1:8">
      <c r="A97" s="5">
        <v>45323</v>
      </c>
      <c r="B97" s="2">
        <v>122.34699999999999</v>
      </c>
      <c r="C97" s="9">
        <v>74</v>
      </c>
      <c r="D97" s="9">
        <f t="shared" si="1"/>
        <v>2.4801903070711799</v>
      </c>
      <c r="E97">
        <v>74</v>
      </c>
      <c r="F97">
        <v>74</v>
      </c>
      <c r="G97">
        <v>2.480190307</v>
      </c>
      <c r="H97">
        <v>2.6194410894</v>
      </c>
    </row>
    <row r="98" spans="1:8">
      <c r="A98" s="5">
        <v>45352</v>
      </c>
      <c r="B98" s="2">
        <v>122.761</v>
      </c>
      <c r="C98" s="9">
        <v>75</v>
      </c>
      <c r="D98" s="9">
        <f t="shared" si="1"/>
        <v>2.7030870911068305</v>
      </c>
      <c r="E98">
        <v>75</v>
      </c>
      <c r="F98">
        <v>75</v>
      </c>
      <c r="G98">
        <v>2.703087091</v>
      </c>
      <c r="H98">
        <v>2.5292941326</v>
      </c>
    </row>
    <row r="99" spans="1:8">
      <c r="A99" s="5">
        <v>45383</v>
      </c>
      <c r="B99" s="2">
        <v>123.07599999999999</v>
      </c>
      <c r="C99" s="9">
        <v>76</v>
      </c>
      <c r="D99" s="9">
        <f t="shared" ref="D99" si="2">100*(B99-B87)/B87</f>
        <v>2.6548672566371621</v>
      </c>
      <c r="E99">
        <v>76</v>
      </c>
      <c r="F99">
        <v>76</v>
      </c>
      <c r="G99">
        <v>2.6548672569999998</v>
      </c>
      <c r="H99">
        <v>2.4391471758000001</v>
      </c>
    </row>
  </sheetData>
  <phoneticPr fontId="2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8"/>
  <sheetViews>
    <sheetView topLeftCell="A79" workbookViewId="0">
      <selection activeCell="I93" sqref="I93:I98"/>
    </sheetView>
  </sheetViews>
  <sheetFormatPr defaultRowHeight="13.2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8" spans="1:2">
      <c r="A8" t="s">
        <v>6</v>
      </c>
      <c r="B8" t="s">
        <v>7</v>
      </c>
    </row>
    <row r="10" spans="1:2">
      <c r="A10" t="s">
        <v>8</v>
      </c>
    </row>
    <row r="11" spans="1:2">
      <c r="A11" t="s">
        <v>9</v>
      </c>
      <c r="B11" t="s">
        <v>6</v>
      </c>
    </row>
    <row r="12" spans="1:2">
      <c r="A12" s="1">
        <v>42736</v>
      </c>
      <c r="B12" s="2">
        <v>99.450999999999993</v>
      </c>
    </row>
    <row r="13" spans="1:2">
      <c r="A13" s="1">
        <v>42767</v>
      </c>
      <c r="B13" s="2">
        <v>99.585999999999999</v>
      </c>
    </row>
    <row r="14" spans="1:2">
      <c r="A14" s="1">
        <v>42795</v>
      </c>
      <c r="B14" s="2">
        <v>99.534999999999997</v>
      </c>
    </row>
    <row r="15" spans="1:2">
      <c r="A15" s="1">
        <v>42826</v>
      </c>
      <c r="B15" s="2">
        <v>99.724999999999994</v>
      </c>
    </row>
    <row r="16" spans="1:2">
      <c r="A16" s="1">
        <v>42856</v>
      </c>
      <c r="B16" s="2">
        <v>99.682000000000002</v>
      </c>
    </row>
    <row r="17" spans="1:9">
      <c r="A17" s="1">
        <v>42887</v>
      </c>
      <c r="B17" s="2">
        <v>99.766000000000005</v>
      </c>
    </row>
    <row r="18" spans="1:9">
      <c r="A18" s="1">
        <v>42917</v>
      </c>
      <c r="B18" s="2">
        <v>99.802999999999997</v>
      </c>
    </row>
    <row r="19" spans="1:9">
      <c r="A19" s="1">
        <v>42948</v>
      </c>
      <c r="B19" s="2">
        <v>100.027</v>
      </c>
    </row>
    <row r="20" spans="1:9">
      <c r="A20" s="1">
        <v>42979</v>
      </c>
      <c r="B20" s="2">
        <v>100.4</v>
      </c>
    </row>
    <row r="21" spans="1:9">
      <c r="A21" s="1">
        <v>43009</v>
      </c>
      <c r="B21" s="2">
        <v>100.53100000000001</v>
      </c>
    </row>
    <row r="22" spans="1:9">
      <c r="A22" s="1">
        <v>43040</v>
      </c>
      <c r="B22" s="2">
        <v>100.675</v>
      </c>
    </row>
    <row r="23" spans="1:9" ht="13.8">
      <c r="A23" s="1">
        <v>43070</v>
      </c>
      <c r="B23" s="2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16">
        <v>43101</v>
      </c>
      <c r="B24" s="13">
        <v>101.199</v>
      </c>
      <c r="C24" s="14">
        <v>1</v>
      </c>
      <c r="D24" s="14">
        <v>1.7576494957315711</v>
      </c>
      <c r="E24" s="14">
        <v>1</v>
      </c>
      <c r="F24" s="14">
        <v>1</v>
      </c>
      <c r="G24" s="14">
        <v>1.757649496</v>
      </c>
      <c r="H24" s="14">
        <v>1.7360498802</v>
      </c>
      <c r="I24" t="s">
        <v>10</v>
      </c>
    </row>
    <row r="25" spans="1:9">
      <c r="A25" s="5">
        <v>43132</v>
      </c>
      <c r="B25" s="2">
        <v>101.416</v>
      </c>
      <c r="C25">
        <v>2</v>
      </c>
      <c r="D25"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134</v>
      </c>
    </row>
    <row r="26" spans="1:9">
      <c r="A26" s="5">
        <v>43160</v>
      </c>
      <c r="B26" s="2">
        <v>101.524</v>
      </c>
      <c r="C26">
        <v>3</v>
      </c>
      <c r="D26"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5">
        <v>43191</v>
      </c>
      <c r="B27" s="2">
        <v>101.76600000000001</v>
      </c>
      <c r="C27">
        <v>4</v>
      </c>
      <c r="D27"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5">
        <v>43221</v>
      </c>
      <c r="B28" s="2">
        <v>101.941</v>
      </c>
      <c r="C28">
        <v>5</v>
      </c>
      <c r="D28"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16">
        <v>43252</v>
      </c>
      <c r="B29" s="13">
        <v>102.029</v>
      </c>
      <c r="C29" s="14">
        <v>6</v>
      </c>
      <c r="D29" s="14">
        <v>2.2683078403464014</v>
      </c>
      <c r="E29" s="14">
        <v>6</v>
      </c>
      <c r="F29" s="14">
        <v>6</v>
      </c>
      <c r="G29" s="14">
        <v>2.2683078399999999</v>
      </c>
      <c r="H29" s="14">
        <v>2.3222375461999998</v>
      </c>
      <c r="I29" t="s">
        <v>15</v>
      </c>
    </row>
    <row r="30" spans="1:9">
      <c r="A30" s="5">
        <v>43282</v>
      </c>
      <c r="B30" s="2">
        <v>102.137</v>
      </c>
      <c r="C30">
        <v>7</v>
      </c>
      <c r="D30"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5">
        <v>43313</v>
      </c>
      <c r="B31" s="2">
        <v>102.208</v>
      </c>
      <c r="C31">
        <v>8</v>
      </c>
      <c r="D31"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5">
        <v>43344</v>
      </c>
      <c r="B32" s="2">
        <v>102.41800000000001</v>
      </c>
      <c r="C32">
        <v>9</v>
      </c>
      <c r="D32"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s="15" t="s">
        <v>17</v>
      </c>
    </row>
    <row r="33" spans="1:9">
      <c r="A33" s="5">
        <v>43374</v>
      </c>
      <c r="B33" s="2">
        <v>102.595</v>
      </c>
      <c r="C33">
        <v>10</v>
      </c>
      <c r="D33"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5">
        <v>43405</v>
      </c>
      <c r="B34" s="2">
        <v>102.63</v>
      </c>
      <c r="C34">
        <v>11</v>
      </c>
      <c r="D34"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135</v>
      </c>
    </row>
    <row r="35" spans="1:9">
      <c r="A35" s="5">
        <v>43435</v>
      </c>
      <c r="B35" s="2">
        <v>102.70099999999999</v>
      </c>
      <c r="C35">
        <v>12</v>
      </c>
      <c r="D35"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16">
        <v>43466</v>
      </c>
      <c r="B36" s="13">
        <v>102.714</v>
      </c>
      <c r="C36" s="14">
        <v>13</v>
      </c>
      <c r="D36" s="14">
        <v>1.4970503661103376</v>
      </c>
      <c r="E36" s="14">
        <v>13</v>
      </c>
      <c r="F36" s="14">
        <v>13</v>
      </c>
      <c r="G36" s="14">
        <v>1.4970503660000001</v>
      </c>
      <c r="H36" s="14">
        <v>1.5253491168</v>
      </c>
      <c r="I36" t="s">
        <v>21</v>
      </c>
    </row>
    <row r="37" spans="1:9">
      <c r="A37" s="5">
        <v>43497</v>
      </c>
      <c r="B37" s="2">
        <v>102.86199999999999</v>
      </c>
      <c r="C37">
        <v>14</v>
      </c>
      <c r="D37">
        <v>1.4258105229943974</v>
      </c>
      <c r="E37">
        <v>14</v>
      </c>
      <c r="F37">
        <v>14</v>
      </c>
      <c r="G37">
        <v>1.425810523</v>
      </c>
      <c r="H37">
        <v>1.5058576435</v>
      </c>
      <c r="I37" s="15" t="s">
        <v>22</v>
      </c>
    </row>
    <row r="38" spans="1:9">
      <c r="A38" s="5">
        <v>43525</v>
      </c>
      <c r="B38" s="2">
        <v>103.056</v>
      </c>
      <c r="C38">
        <v>15</v>
      </c>
      <c r="D38">
        <v>1.5090027973681066</v>
      </c>
      <c r="E38">
        <v>15</v>
      </c>
      <c r="F38">
        <v>15</v>
      </c>
      <c r="G38">
        <v>1.509002797</v>
      </c>
      <c r="H38">
        <v>1.4863661703</v>
      </c>
      <c r="I38" t="s">
        <v>23</v>
      </c>
    </row>
    <row r="39" spans="1:9">
      <c r="A39" s="5">
        <v>43556</v>
      </c>
      <c r="B39" s="2">
        <v>103.371</v>
      </c>
      <c r="C39">
        <v>16</v>
      </c>
      <c r="D39">
        <v>1.5771475738458716</v>
      </c>
      <c r="E39">
        <v>16</v>
      </c>
      <c r="F39">
        <v>16</v>
      </c>
      <c r="G39">
        <v>1.5771475740000001</v>
      </c>
      <c r="H39">
        <v>1.4668746969999999</v>
      </c>
      <c r="I39" t="s">
        <v>136</v>
      </c>
    </row>
    <row r="40" spans="1:9">
      <c r="A40" s="5">
        <v>43586</v>
      </c>
      <c r="B40" s="2">
        <v>103.426</v>
      </c>
      <c r="C40">
        <v>17</v>
      </c>
      <c r="D40">
        <v>1.4567249683640531</v>
      </c>
      <c r="E40">
        <v>17</v>
      </c>
      <c r="F40">
        <v>17</v>
      </c>
      <c r="G40">
        <v>1.4567249680000001</v>
      </c>
      <c r="H40">
        <v>1.4473832236999999</v>
      </c>
      <c r="I40" t="s">
        <v>25</v>
      </c>
    </row>
    <row r="41" spans="1:9">
      <c r="A41" s="5">
        <v>43617</v>
      </c>
      <c r="B41" s="2">
        <v>103.46899999999999</v>
      </c>
      <c r="C41">
        <v>18</v>
      </c>
      <c r="D41">
        <v>1.4113634358858733</v>
      </c>
      <c r="E41">
        <v>18</v>
      </c>
      <c r="F41">
        <v>18</v>
      </c>
      <c r="G41">
        <v>1.411363436</v>
      </c>
      <c r="H41">
        <v>1.4278917504999999</v>
      </c>
      <c r="I41" t="s">
        <v>26</v>
      </c>
    </row>
    <row r="42" spans="1:9">
      <c r="A42" s="5">
        <v>43647</v>
      </c>
      <c r="B42" s="2">
        <v>103.608</v>
      </c>
      <c r="C42">
        <v>19</v>
      </c>
      <c r="D42">
        <v>1.4402224463221003</v>
      </c>
      <c r="E42">
        <v>19</v>
      </c>
      <c r="F42">
        <v>19</v>
      </c>
      <c r="G42">
        <v>1.4402224459999999</v>
      </c>
      <c r="H42">
        <v>1.4084002771999999</v>
      </c>
      <c r="I42" s="15" t="s">
        <v>27</v>
      </c>
    </row>
    <row r="43" spans="1:9">
      <c r="A43" s="5">
        <v>43678</v>
      </c>
      <c r="B43" s="2">
        <v>103.661</v>
      </c>
      <c r="C43">
        <v>20</v>
      </c>
      <c r="D43">
        <v>1.4216108328115244</v>
      </c>
      <c r="E43">
        <v>20</v>
      </c>
      <c r="F43">
        <v>20</v>
      </c>
      <c r="G43">
        <v>1.4216108329999999</v>
      </c>
      <c r="H43">
        <v>1.3889088038999999</v>
      </c>
      <c r="I43" t="s">
        <v>28</v>
      </c>
    </row>
    <row r="44" spans="1:9">
      <c r="A44" s="5">
        <v>43709</v>
      </c>
      <c r="B44" s="2">
        <v>103.754</v>
      </c>
      <c r="C44">
        <v>21</v>
      </c>
      <c r="D44">
        <v>1.3044582007069054</v>
      </c>
      <c r="E44">
        <v>21</v>
      </c>
      <c r="F44">
        <v>21</v>
      </c>
      <c r="G44">
        <v>1.3044582010000001</v>
      </c>
      <c r="H44">
        <v>1.3694173305999999</v>
      </c>
      <c r="I44" t="s">
        <v>137</v>
      </c>
    </row>
    <row r="45" spans="1:9">
      <c r="A45" s="5">
        <v>43739</v>
      </c>
      <c r="B45" s="2">
        <v>103.961</v>
      </c>
      <c r="C45">
        <v>22</v>
      </c>
      <c r="D45">
        <v>1.3314489010185679</v>
      </c>
      <c r="E45">
        <v>22</v>
      </c>
      <c r="F45">
        <v>22</v>
      </c>
      <c r="G45">
        <v>1.3314489009999999</v>
      </c>
      <c r="H45">
        <v>1.3499258573999999</v>
      </c>
      <c r="I45" t="s">
        <v>30</v>
      </c>
    </row>
    <row r="46" spans="1:9">
      <c r="A46" s="5">
        <v>43770</v>
      </c>
      <c r="B46" s="2">
        <v>103.997</v>
      </c>
      <c r="C46">
        <v>23</v>
      </c>
      <c r="D46">
        <v>1.3319692097827189</v>
      </c>
      <c r="E46">
        <v>23</v>
      </c>
      <c r="F46">
        <v>23</v>
      </c>
      <c r="G46">
        <v>1.33196921</v>
      </c>
      <c r="H46">
        <v>1.3304343840999999</v>
      </c>
      <c r="I46" t="s">
        <v>31</v>
      </c>
    </row>
    <row r="47" spans="1:9">
      <c r="A47" s="16">
        <v>43800</v>
      </c>
      <c r="B47" s="13">
        <v>104.282</v>
      </c>
      <c r="C47" s="14">
        <v>24</v>
      </c>
      <c r="D47" s="14">
        <v>1.5394202588095571</v>
      </c>
      <c r="E47" s="14">
        <v>24</v>
      </c>
      <c r="F47" s="14">
        <v>24</v>
      </c>
      <c r="G47" s="14">
        <v>1.5394202589999999</v>
      </c>
      <c r="H47" s="14">
        <v>1.8483446670999999</v>
      </c>
      <c r="I47" s="15" t="s">
        <v>32</v>
      </c>
    </row>
    <row r="48" spans="1:9">
      <c r="A48" s="5">
        <v>43831</v>
      </c>
      <c r="B48" s="2">
        <v>104.458</v>
      </c>
      <c r="C48">
        <v>25</v>
      </c>
      <c r="D48">
        <v>1.6979184921237609</v>
      </c>
      <c r="E48">
        <v>25</v>
      </c>
      <c r="F48">
        <v>25</v>
      </c>
      <c r="G48">
        <v>1.6979184919999999</v>
      </c>
      <c r="H48">
        <v>1.5680777449000001</v>
      </c>
      <c r="I48" t="s">
        <v>33</v>
      </c>
    </row>
    <row r="49" spans="1:9">
      <c r="A49" s="5">
        <v>43862</v>
      </c>
      <c r="B49" s="2">
        <v>104.551</v>
      </c>
      <c r="C49">
        <v>26</v>
      </c>
      <c r="D49">
        <v>1.6420057941708379</v>
      </c>
      <c r="E49">
        <v>26</v>
      </c>
      <c r="F49">
        <v>26</v>
      </c>
      <c r="G49">
        <v>1.6420057939999999</v>
      </c>
      <c r="H49">
        <v>1.2878108226</v>
      </c>
      <c r="I49" t="s">
        <v>138</v>
      </c>
    </row>
    <row r="50" spans="1:9">
      <c r="A50" s="5">
        <v>43891</v>
      </c>
      <c r="B50" s="2">
        <v>104.238</v>
      </c>
      <c r="C50">
        <v>27</v>
      </c>
      <c r="D50">
        <v>1.1469492314857963</v>
      </c>
      <c r="E50">
        <v>27</v>
      </c>
      <c r="F50">
        <v>27</v>
      </c>
      <c r="G50">
        <v>1.146949231</v>
      </c>
      <c r="H50">
        <v>1.0075439004</v>
      </c>
      <c r="I50" t="s">
        <v>35</v>
      </c>
    </row>
    <row r="51" spans="1:9">
      <c r="A51" s="5">
        <v>43922</v>
      </c>
      <c r="B51" s="2">
        <v>103.79600000000001</v>
      </c>
      <c r="C51">
        <v>28</v>
      </c>
      <c r="D51">
        <v>0.41114045525341864</v>
      </c>
      <c r="E51">
        <v>28</v>
      </c>
      <c r="F51">
        <v>28</v>
      </c>
      <c r="G51">
        <v>0.41114045500000002</v>
      </c>
      <c r="H51">
        <v>0.72727697810000003</v>
      </c>
      <c r="I51" t="s">
        <v>36</v>
      </c>
    </row>
    <row r="52" spans="1:9">
      <c r="A52" s="5">
        <v>43952</v>
      </c>
      <c r="B52" s="2">
        <v>103.89</v>
      </c>
      <c r="C52">
        <v>29</v>
      </c>
      <c r="D52">
        <v>0.44862993831338216</v>
      </c>
      <c r="E52">
        <v>29</v>
      </c>
      <c r="F52">
        <v>29</v>
      </c>
      <c r="G52">
        <v>0.44862993800000001</v>
      </c>
      <c r="H52">
        <v>0.44701005589999998</v>
      </c>
      <c r="I52" s="15" t="s">
        <v>37</v>
      </c>
    </row>
    <row r="53" spans="1:9">
      <c r="A53" s="16">
        <v>43983</v>
      </c>
      <c r="B53" s="13">
        <v>104.199</v>
      </c>
      <c r="C53" s="14">
        <v>30</v>
      </c>
      <c r="D53" s="14">
        <v>0.70552532642627652</v>
      </c>
      <c r="E53" s="14">
        <v>30</v>
      </c>
      <c r="F53" s="14">
        <v>30</v>
      </c>
      <c r="G53" s="14">
        <v>0.70552532599999995</v>
      </c>
      <c r="H53" s="14">
        <v>0.79284869540000003</v>
      </c>
      <c r="I53" t="s">
        <v>38</v>
      </c>
    </row>
    <row r="54" spans="1:9">
      <c r="A54" s="5">
        <v>44013</v>
      </c>
      <c r="B54" s="2">
        <v>104.541</v>
      </c>
      <c r="C54">
        <v>31</v>
      </c>
      <c r="D54">
        <v>0.90050961315727807</v>
      </c>
      <c r="E54">
        <v>31</v>
      </c>
      <c r="F54">
        <v>31</v>
      </c>
      <c r="G54">
        <v>0.90050961299999999</v>
      </c>
      <c r="H54">
        <v>0.91014849990000002</v>
      </c>
      <c r="I54" t="s">
        <v>39</v>
      </c>
    </row>
    <row r="55" spans="1:9">
      <c r="A55" s="5">
        <v>44044</v>
      </c>
      <c r="B55" s="2">
        <v>104.869</v>
      </c>
      <c r="C55">
        <v>32</v>
      </c>
      <c r="D55">
        <v>1.1653370119910076</v>
      </c>
      <c r="E55">
        <v>32</v>
      </c>
      <c r="F55">
        <v>32</v>
      </c>
      <c r="G55">
        <v>1.1653370119999999</v>
      </c>
      <c r="H55">
        <v>1.0274483044</v>
      </c>
      <c r="I55" t="s">
        <v>40</v>
      </c>
    </row>
    <row r="56" spans="1:9">
      <c r="A56" s="5">
        <v>44075</v>
      </c>
      <c r="B56" s="2">
        <v>105.048</v>
      </c>
      <c r="C56">
        <v>33</v>
      </c>
      <c r="D56">
        <v>1.2471808315823938</v>
      </c>
      <c r="E56">
        <v>33</v>
      </c>
      <c r="F56">
        <v>33</v>
      </c>
      <c r="G56">
        <v>1.247180832</v>
      </c>
      <c r="H56">
        <v>1.1447481089</v>
      </c>
      <c r="I56" t="s">
        <v>41</v>
      </c>
    </row>
    <row r="57" spans="1:9">
      <c r="A57" s="5">
        <v>44105</v>
      </c>
      <c r="B57" s="2">
        <v>105.124</v>
      </c>
      <c r="C57">
        <v>34</v>
      </c>
      <c r="D57">
        <v>1.11868873904637</v>
      </c>
      <c r="E57">
        <v>34</v>
      </c>
      <c r="F57">
        <v>34</v>
      </c>
      <c r="G57">
        <v>1.118688739</v>
      </c>
      <c r="H57">
        <v>1.2620479134</v>
      </c>
      <c r="I57" s="15" t="s">
        <v>42</v>
      </c>
    </row>
    <row r="58" spans="1:9">
      <c r="A58" s="16">
        <v>44136</v>
      </c>
      <c r="B58" s="13">
        <v>105.197</v>
      </c>
      <c r="C58" s="14">
        <v>35</v>
      </c>
      <c r="D58" s="14">
        <v>1.1538794388299689</v>
      </c>
      <c r="E58" s="14">
        <v>35</v>
      </c>
      <c r="F58" s="14">
        <v>35</v>
      </c>
      <c r="G58" s="14">
        <v>1.153879439</v>
      </c>
      <c r="H58" s="14">
        <v>1.0193186811999999</v>
      </c>
      <c r="I58" t="s">
        <v>43</v>
      </c>
    </row>
    <row r="59" spans="1:9">
      <c r="A59" s="5">
        <v>44166</v>
      </c>
      <c r="B59" s="2">
        <v>105.70699999999999</v>
      </c>
      <c r="C59">
        <v>36</v>
      </c>
      <c r="D59">
        <v>1.3664870255652914</v>
      </c>
      <c r="E59">
        <v>36</v>
      </c>
      <c r="F59">
        <v>36</v>
      </c>
      <c r="G59">
        <v>1.3664870259999999</v>
      </c>
      <c r="H59">
        <v>1.3830189502000001</v>
      </c>
      <c r="I59" t="s">
        <v>44</v>
      </c>
    </row>
    <row r="60" spans="1:9">
      <c r="A60" s="5">
        <v>44197</v>
      </c>
      <c r="B60" s="2">
        <v>106.145</v>
      </c>
      <c r="C60">
        <v>37</v>
      </c>
      <c r="D60">
        <v>1.6150031591644467</v>
      </c>
      <c r="E60">
        <v>37</v>
      </c>
      <c r="F60">
        <v>37</v>
      </c>
      <c r="G60">
        <v>1.615003159</v>
      </c>
      <c r="H60">
        <v>1.7467192192000001</v>
      </c>
      <c r="I60" t="s">
        <v>45</v>
      </c>
    </row>
    <row r="61" spans="1:9">
      <c r="A61" s="5">
        <v>44228</v>
      </c>
      <c r="B61" s="2">
        <v>106.52200000000001</v>
      </c>
      <c r="C61">
        <v>38</v>
      </c>
      <c r="D61">
        <v>1.8852043500301323</v>
      </c>
      <c r="E61">
        <v>38</v>
      </c>
      <c r="F61">
        <v>38</v>
      </c>
      <c r="G61">
        <v>1.88520435</v>
      </c>
      <c r="H61">
        <v>2.1104194881999998</v>
      </c>
      <c r="I61" t="s">
        <v>46</v>
      </c>
    </row>
    <row r="62" spans="1:9">
      <c r="A62" s="5">
        <v>44256</v>
      </c>
      <c r="B62" s="2">
        <v>107.066</v>
      </c>
      <c r="C62">
        <v>39</v>
      </c>
      <c r="D62">
        <v>2.7130221224505489</v>
      </c>
      <c r="E62">
        <v>39</v>
      </c>
      <c r="F62">
        <v>39</v>
      </c>
      <c r="G62">
        <v>2.7130221219999999</v>
      </c>
      <c r="H62">
        <v>2.4741197572</v>
      </c>
      <c r="I62" s="15" t="s">
        <v>47</v>
      </c>
    </row>
    <row r="63" spans="1:9">
      <c r="A63" s="16">
        <v>44287</v>
      </c>
      <c r="B63" s="13">
        <v>107.66200000000001</v>
      </c>
      <c r="C63" s="14">
        <v>40</v>
      </c>
      <c r="D63" s="14">
        <v>3.7246136652664839</v>
      </c>
      <c r="E63" s="14">
        <v>40</v>
      </c>
      <c r="F63" s="14">
        <v>40</v>
      </c>
      <c r="G63" s="14">
        <v>3.7246136650000001</v>
      </c>
      <c r="H63" s="14">
        <v>3.8702564268000001</v>
      </c>
      <c r="I63" t="s">
        <v>48</v>
      </c>
    </row>
    <row r="64" spans="1:9">
      <c r="A64" s="5">
        <v>44317</v>
      </c>
      <c r="B64" s="2">
        <v>108.20699999999999</v>
      </c>
      <c r="C64">
        <v>41</v>
      </c>
      <c r="D64">
        <v>4.1553566272018418</v>
      </c>
      <c r="E64">
        <v>41</v>
      </c>
      <c r="F64">
        <v>41</v>
      </c>
      <c r="G64">
        <v>4.1553566269999997</v>
      </c>
      <c r="H64">
        <v>4.0712063672000003</v>
      </c>
      <c r="I64" t="s">
        <v>49</v>
      </c>
    </row>
    <row r="65" spans="1:12">
      <c r="A65" s="5">
        <v>44348</v>
      </c>
      <c r="B65" s="2">
        <v>108.755</v>
      </c>
      <c r="C65">
        <v>42</v>
      </c>
      <c r="D65">
        <v>4.3724028061689628</v>
      </c>
      <c r="E65">
        <v>42</v>
      </c>
      <c r="F65">
        <v>42</v>
      </c>
      <c r="G65">
        <v>4.3724028060000002</v>
      </c>
      <c r="H65">
        <v>4.2721563076000004</v>
      </c>
      <c r="I65" t="s">
        <v>50</v>
      </c>
    </row>
    <row r="66" spans="1:12">
      <c r="A66" s="5">
        <v>44378</v>
      </c>
      <c r="B66" s="2">
        <v>109.28</v>
      </c>
      <c r="C66">
        <v>43</v>
      </c>
      <c r="D66">
        <v>4.5331496733339112</v>
      </c>
      <c r="E66">
        <v>43</v>
      </c>
      <c r="F66">
        <v>43</v>
      </c>
      <c r="G66">
        <v>4.5331496729999996</v>
      </c>
      <c r="H66">
        <v>4.4731062479999997</v>
      </c>
      <c r="I66" t="s">
        <v>51</v>
      </c>
    </row>
    <row r="67" spans="1:12">
      <c r="A67" s="5">
        <v>44409</v>
      </c>
      <c r="B67" s="2">
        <v>109.74</v>
      </c>
      <c r="C67">
        <v>44</v>
      </c>
      <c r="D67">
        <v>4.6448426131649914</v>
      </c>
      <c r="E67">
        <v>44</v>
      </c>
      <c r="F67">
        <v>44</v>
      </c>
      <c r="G67">
        <v>4.6448426129999998</v>
      </c>
      <c r="H67">
        <v>4.6740561884999998</v>
      </c>
      <c r="I67" s="15" t="s">
        <v>52</v>
      </c>
    </row>
    <row r="68" spans="1:12">
      <c r="A68" s="5">
        <v>44440</v>
      </c>
      <c r="B68" s="2">
        <v>110.096</v>
      </c>
      <c r="C68">
        <v>45</v>
      </c>
      <c r="D68">
        <v>4.8054222831467532</v>
      </c>
      <c r="E68">
        <v>45</v>
      </c>
      <c r="F68">
        <v>45</v>
      </c>
      <c r="G68">
        <v>4.8054222830000004</v>
      </c>
      <c r="H68">
        <v>4.8750061289</v>
      </c>
      <c r="I68" t="s">
        <v>53</v>
      </c>
    </row>
    <row r="69" spans="1:12">
      <c r="A69" s="16">
        <v>44470</v>
      </c>
      <c r="B69" s="13">
        <v>110.80800000000001</v>
      </c>
      <c r="C69" s="14">
        <v>46</v>
      </c>
      <c r="D69" s="14">
        <v>5.4069479852364948</v>
      </c>
      <c r="E69" s="14">
        <v>46</v>
      </c>
      <c r="F69" s="14">
        <v>46</v>
      </c>
      <c r="G69" s="14">
        <v>5.4069479850000004</v>
      </c>
      <c r="H69" s="14">
        <v>5.5590709274999996</v>
      </c>
      <c r="I69" t="s">
        <v>54</v>
      </c>
    </row>
    <row r="70" spans="1:12">
      <c r="A70" s="5">
        <v>44501</v>
      </c>
      <c r="B70" s="2">
        <v>111.494</v>
      </c>
      <c r="C70">
        <v>47</v>
      </c>
      <c r="D70">
        <v>5.9859121457836224</v>
      </c>
      <c r="E70">
        <v>47</v>
      </c>
      <c r="F70">
        <v>47</v>
      </c>
      <c r="G70">
        <v>5.9859121460000004</v>
      </c>
      <c r="H70">
        <v>5.8227856459999998</v>
      </c>
      <c r="I70" t="s">
        <v>55</v>
      </c>
    </row>
    <row r="71" spans="1:12">
      <c r="A71" s="5">
        <v>44531</v>
      </c>
      <c r="B71" s="2">
        <v>112.24</v>
      </c>
      <c r="C71">
        <v>48</v>
      </c>
      <c r="D71">
        <v>6.1802908038256712</v>
      </c>
      <c r="E71">
        <v>48</v>
      </c>
      <c r="F71">
        <v>48</v>
      </c>
      <c r="G71">
        <v>6.1802908040000002</v>
      </c>
      <c r="H71">
        <v>6.0865003644</v>
      </c>
      <c r="I71" t="s">
        <v>56</v>
      </c>
    </row>
    <row r="72" spans="1:12">
      <c r="A72" s="5">
        <v>44562</v>
      </c>
      <c r="B72" s="2">
        <v>112.82899999999999</v>
      </c>
      <c r="C72">
        <v>49</v>
      </c>
      <c r="D72">
        <v>6.2970464930048493</v>
      </c>
      <c r="E72">
        <v>49</v>
      </c>
      <c r="F72">
        <v>49</v>
      </c>
      <c r="G72">
        <v>6.2970464929999999</v>
      </c>
      <c r="H72">
        <v>6.3502150829000001</v>
      </c>
      <c r="I72" s="15" t="s">
        <v>139</v>
      </c>
    </row>
    <row r="73" spans="1:12">
      <c r="A73" s="5">
        <v>44593</v>
      </c>
      <c r="B73" s="2">
        <v>113.496</v>
      </c>
      <c r="C73">
        <v>50</v>
      </c>
      <c r="D73">
        <v>6.5470043746831541</v>
      </c>
      <c r="E73">
        <v>50</v>
      </c>
      <c r="F73">
        <v>50</v>
      </c>
      <c r="G73">
        <v>6.5470043750000002</v>
      </c>
      <c r="H73">
        <v>6.6139298014000003</v>
      </c>
      <c r="I73" t="s">
        <v>140</v>
      </c>
    </row>
    <row r="74" spans="1:12">
      <c r="A74" s="5">
        <v>44621</v>
      </c>
      <c r="B74" s="2">
        <v>114.446</v>
      </c>
      <c r="C74">
        <v>51</v>
      </c>
      <c r="D74">
        <v>6.8929445388825537</v>
      </c>
      <c r="E74">
        <v>51</v>
      </c>
      <c r="F74">
        <v>51</v>
      </c>
      <c r="G74">
        <v>6.8929445390000001</v>
      </c>
      <c r="H74">
        <v>6.8776445197999996</v>
      </c>
      <c r="I74" t="s">
        <v>141</v>
      </c>
    </row>
    <row r="75" spans="1:12">
      <c r="A75" s="16">
        <v>44652</v>
      </c>
      <c r="B75" s="13">
        <v>114.789</v>
      </c>
      <c r="C75" s="14">
        <v>52</v>
      </c>
      <c r="D75" s="14">
        <v>6.619791569913243</v>
      </c>
      <c r="E75" s="14">
        <v>52</v>
      </c>
      <c r="F75" s="14">
        <v>52</v>
      </c>
      <c r="G75" s="14">
        <v>6.6197915700000003</v>
      </c>
      <c r="H75" s="14">
        <v>7.2261322182000001</v>
      </c>
      <c r="I75" t="s">
        <v>142</v>
      </c>
    </row>
    <row r="76" spans="1:12">
      <c r="A76" s="5">
        <v>44682</v>
      </c>
      <c r="B76" s="2">
        <v>115.446</v>
      </c>
      <c r="C76">
        <v>53</v>
      </c>
      <c r="D76">
        <v>6.6899553633313973</v>
      </c>
      <c r="E76">
        <v>53</v>
      </c>
      <c r="F76">
        <v>53</v>
      </c>
      <c r="G76">
        <v>6.6899553630000002</v>
      </c>
      <c r="H76">
        <v>6.9982786372000003</v>
      </c>
      <c r="I76" t="s">
        <v>143</v>
      </c>
    </row>
    <row r="77" spans="1:12">
      <c r="A77" s="5">
        <v>44713</v>
      </c>
      <c r="B77" s="2">
        <v>116.495</v>
      </c>
      <c r="C77">
        <v>54</v>
      </c>
      <c r="D77">
        <v>7.1169141648659915</v>
      </c>
      <c r="E77">
        <v>54</v>
      </c>
      <c r="F77">
        <v>54</v>
      </c>
      <c r="G77">
        <v>7.1169141649999998</v>
      </c>
      <c r="H77">
        <v>6.7704250561999997</v>
      </c>
    </row>
    <row r="78" spans="1:12">
      <c r="A78" s="5">
        <v>44743</v>
      </c>
      <c r="B78" s="2">
        <v>116.511</v>
      </c>
      <c r="C78">
        <v>55</v>
      </c>
      <c r="D78">
        <v>6.616947291361635</v>
      </c>
      <c r="E78">
        <v>55</v>
      </c>
      <c r="F78">
        <v>55</v>
      </c>
      <c r="G78">
        <v>6.6169472909999998</v>
      </c>
      <c r="H78">
        <v>6.5425714751999999</v>
      </c>
      <c r="I78" t="s">
        <v>182</v>
      </c>
    </row>
    <row r="79" spans="1:12">
      <c r="A79" s="5">
        <v>44774</v>
      </c>
      <c r="B79" s="2">
        <v>116.89</v>
      </c>
      <c r="C79">
        <v>56</v>
      </c>
      <c r="D79">
        <v>6.5154000364497957</v>
      </c>
      <c r="E79">
        <v>56</v>
      </c>
      <c r="F79">
        <v>56</v>
      </c>
      <c r="G79">
        <v>6.515400036</v>
      </c>
      <c r="H79">
        <v>6.3147178942000002</v>
      </c>
      <c r="I79" t="s">
        <v>184</v>
      </c>
      <c r="J79" t="s">
        <v>185</v>
      </c>
      <c r="K79" t="s">
        <v>186</v>
      </c>
      <c r="L79" t="s">
        <v>187</v>
      </c>
    </row>
    <row r="80" spans="1:12">
      <c r="A80" s="5">
        <v>44805</v>
      </c>
      <c r="B80" s="2">
        <v>117.31399999999999</v>
      </c>
      <c r="C80">
        <v>57</v>
      </c>
      <c r="D80">
        <v>6.5560964976020832</v>
      </c>
      <c r="E80">
        <v>57</v>
      </c>
      <c r="F80">
        <v>57</v>
      </c>
      <c r="G80">
        <v>6.5560964979999996</v>
      </c>
      <c r="H80">
        <v>6.0868643132000004</v>
      </c>
      <c r="I80" t="s">
        <v>188</v>
      </c>
      <c r="J80">
        <v>17</v>
      </c>
      <c r="K80">
        <v>98.952612368600001</v>
      </c>
      <c r="L80">
        <v>5.8207419040000001</v>
      </c>
    </row>
    <row r="81" spans="1:12">
      <c r="A81" s="5">
        <v>44835</v>
      </c>
      <c r="B81" s="2">
        <v>117.842</v>
      </c>
      <c r="C81">
        <v>58</v>
      </c>
      <c r="D81">
        <v>6.3479171178976168</v>
      </c>
      <c r="E81">
        <v>58</v>
      </c>
      <c r="F81">
        <v>58</v>
      </c>
      <c r="G81">
        <v>6.3479171179999998</v>
      </c>
      <c r="H81">
        <v>5.8590107321999998</v>
      </c>
      <c r="I81" t="s">
        <v>189</v>
      </c>
      <c r="J81">
        <v>57</v>
      </c>
      <c r="K81">
        <v>3.8832991763</v>
      </c>
      <c r="L81">
        <v>6.8128055699999995E-2</v>
      </c>
    </row>
    <row r="82" spans="1:12">
      <c r="A82" s="5">
        <v>44866</v>
      </c>
      <c r="B82" s="2">
        <v>118.104</v>
      </c>
      <c r="C82">
        <v>59</v>
      </c>
      <c r="D82">
        <v>5.9285701472724988</v>
      </c>
      <c r="E82">
        <v>59</v>
      </c>
      <c r="F82">
        <v>59</v>
      </c>
      <c r="G82">
        <v>5.9285701470000003</v>
      </c>
      <c r="H82">
        <v>5.6311571512</v>
      </c>
      <c r="I82" t="s">
        <v>190</v>
      </c>
      <c r="J82">
        <v>74</v>
      </c>
      <c r="K82">
        <v>288.78533363730003</v>
      </c>
    </row>
    <row r="83" spans="1:12">
      <c r="A83" s="5">
        <v>44896</v>
      </c>
      <c r="B83" s="2">
        <v>118.348</v>
      </c>
      <c r="C83">
        <v>60</v>
      </c>
      <c r="D83">
        <v>5.441910192444765</v>
      </c>
      <c r="E83">
        <v>60</v>
      </c>
      <c r="F83">
        <v>60</v>
      </c>
      <c r="G83">
        <v>5.4419101919999999</v>
      </c>
      <c r="H83">
        <v>5.4033035702000003</v>
      </c>
      <c r="I83" t="s">
        <v>191</v>
      </c>
    </row>
    <row r="84" spans="1:12">
      <c r="A84" s="5">
        <v>44927</v>
      </c>
      <c r="B84" s="2">
        <v>119.011</v>
      </c>
      <c r="C84">
        <v>61</v>
      </c>
      <c r="D84">
        <v>5.4790878231660329</v>
      </c>
      <c r="E84">
        <v>61</v>
      </c>
      <c r="F84">
        <v>61</v>
      </c>
      <c r="G84">
        <v>5.4790878230000004</v>
      </c>
      <c r="H84">
        <v>5.1754499891999997</v>
      </c>
    </row>
    <row r="85" spans="1:12">
      <c r="A85" s="5">
        <v>44958</v>
      </c>
      <c r="B85" s="2">
        <v>119.386</v>
      </c>
      <c r="C85">
        <v>62</v>
      </c>
      <c r="D85">
        <v>5.1896102065271021</v>
      </c>
      <c r="E85">
        <v>62</v>
      </c>
      <c r="F85">
        <v>62</v>
      </c>
      <c r="G85">
        <v>5.1896102070000003</v>
      </c>
      <c r="H85">
        <v>4.9475964081999999</v>
      </c>
      <c r="K85">
        <f>1-(K81/K82)</f>
        <v>0.98655299032194887</v>
      </c>
    </row>
    <row r="86" spans="1:12">
      <c r="A86" s="5">
        <v>44986</v>
      </c>
      <c r="B86" s="2">
        <v>119.53</v>
      </c>
      <c r="C86">
        <v>63</v>
      </c>
      <c r="D86">
        <v>4.4422697167222998</v>
      </c>
      <c r="E86">
        <v>63</v>
      </c>
      <c r="F86">
        <v>63</v>
      </c>
      <c r="G86">
        <v>4.4422697170000003</v>
      </c>
      <c r="H86">
        <v>4.7197428272000002</v>
      </c>
    </row>
    <row r="87" spans="1:12">
      <c r="A87" s="5">
        <v>45017</v>
      </c>
      <c r="B87" s="2">
        <v>119.893</v>
      </c>
      <c r="C87">
        <v>64</v>
      </c>
      <c r="D87">
        <v>4.4464190819677833</v>
      </c>
      <c r="E87">
        <v>64</v>
      </c>
      <c r="F87">
        <v>64</v>
      </c>
      <c r="G87">
        <v>4.4464190820000002</v>
      </c>
      <c r="H87">
        <v>4.4918892462000004</v>
      </c>
    </row>
    <row r="88" spans="1:12">
      <c r="A88" s="5">
        <v>45047</v>
      </c>
      <c r="B88" s="2">
        <v>120.02</v>
      </c>
      <c r="C88">
        <v>65</v>
      </c>
      <c r="D88">
        <v>3.9620255357483138</v>
      </c>
      <c r="E88">
        <v>65</v>
      </c>
      <c r="F88">
        <v>65</v>
      </c>
      <c r="G88">
        <v>3.9620255360000001</v>
      </c>
      <c r="H88">
        <v>4.2640356651999998</v>
      </c>
    </row>
    <row r="89" spans="1:12">
      <c r="A89" s="5">
        <v>45078</v>
      </c>
      <c r="B89" s="2">
        <v>120.221</v>
      </c>
      <c r="C89">
        <v>66</v>
      </c>
      <c r="D89">
        <v>3.1984205330700881</v>
      </c>
      <c r="E89">
        <v>66</v>
      </c>
      <c r="F89">
        <v>66</v>
      </c>
      <c r="G89">
        <v>3.1984205330000002</v>
      </c>
      <c r="H89">
        <v>4.0361820842</v>
      </c>
    </row>
    <row r="90" spans="1:12">
      <c r="A90" s="5">
        <v>45108</v>
      </c>
      <c r="B90" s="2">
        <v>120.373</v>
      </c>
      <c r="C90">
        <v>67</v>
      </c>
      <c r="D90">
        <v>3.3147084824608912</v>
      </c>
      <c r="E90">
        <v>67</v>
      </c>
      <c r="F90">
        <v>67</v>
      </c>
      <c r="G90">
        <v>3.3147084819999999</v>
      </c>
      <c r="H90">
        <v>3.8083285031999998</v>
      </c>
    </row>
    <row r="91" spans="1:12">
      <c r="A91" s="5">
        <v>45139</v>
      </c>
      <c r="B91" s="2">
        <v>120.803</v>
      </c>
      <c r="C91">
        <v>68</v>
      </c>
      <c r="D91">
        <v>3.3475917529301022</v>
      </c>
      <c r="E91">
        <v>68</v>
      </c>
      <c r="F91">
        <v>68</v>
      </c>
      <c r="G91">
        <v>3.3475917530000001</v>
      </c>
      <c r="H91">
        <v>3.5804749222000001</v>
      </c>
    </row>
    <row r="92" spans="1:12">
      <c r="A92" s="5">
        <v>45170</v>
      </c>
      <c r="B92" s="2">
        <v>121.267</v>
      </c>
      <c r="C92">
        <v>69</v>
      </c>
      <c r="D92">
        <v>3.369589307329051</v>
      </c>
      <c r="E92">
        <v>69</v>
      </c>
      <c r="F92">
        <v>69</v>
      </c>
      <c r="G92">
        <v>3.369589307</v>
      </c>
      <c r="H92">
        <v>3.3526213411999999</v>
      </c>
    </row>
    <row r="93" spans="1:12">
      <c r="A93" s="5">
        <v>45200</v>
      </c>
      <c r="B93" s="2">
        <v>121.309</v>
      </c>
      <c r="C93">
        <v>70</v>
      </c>
      <c r="D93">
        <v>2.9420749817552307</v>
      </c>
      <c r="E93">
        <v>70</v>
      </c>
      <c r="F93">
        <v>70</v>
      </c>
      <c r="G93">
        <v>2.9420749819999998</v>
      </c>
      <c r="H93">
        <v>3.1247677602000001</v>
      </c>
    </row>
    <row r="94" spans="1:12">
      <c r="A94" s="5">
        <v>45231</v>
      </c>
      <c r="B94" s="2">
        <v>121.29600000000001</v>
      </c>
      <c r="C94">
        <v>71</v>
      </c>
      <c r="D94">
        <v>2.7027027027027088</v>
      </c>
      <c r="E94">
        <v>71</v>
      </c>
      <c r="F94">
        <v>71</v>
      </c>
      <c r="G94">
        <v>2.7027027029999999</v>
      </c>
      <c r="H94">
        <v>2.8969141791999999</v>
      </c>
    </row>
    <row r="95" spans="1:12">
      <c r="A95" s="5">
        <v>45261</v>
      </c>
      <c r="B95" s="2">
        <v>121.44799999999999</v>
      </c>
      <c r="C95">
        <v>72</v>
      </c>
      <c r="D95">
        <v>2.6193936526176991</v>
      </c>
      <c r="E95">
        <v>72</v>
      </c>
      <c r="F95">
        <v>72</v>
      </c>
      <c r="G95">
        <v>2.6193936529999999</v>
      </c>
      <c r="H95">
        <v>2.6690605982000002</v>
      </c>
    </row>
    <row r="96" spans="1:12">
      <c r="A96" s="5">
        <v>45292</v>
      </c>
      <c r="B96" s="2">
        <v>121.962</v>
      </c>
      <c r="C96">
        <v>73</v>
      </c>
      <c r="D96">
        <v>2.4796027257984621</v>
      </c>
      <c r="E96">
        <v>73</v>
      </c>
      <c r="F96">
        <v>73</v>
      </c>
      <c r="G96">
        <v>2.479602726</v>
      </c>
      <c r="H96">
        <v>2.4412070172</v>
      </c>
    </row>
    <row r="97" spans="1:8">
      <c r="A97" s="5">
        <v>45323</v>
      </c>
      <c r="B97" s="2">
        <v>122.374</v>
      </c>
      <c r="C97">
        <v>74</v>
      </c>
      <c r="D97">
        <v>2.5028060241569361</v>
      </c>
      <c r="E97">
        <v>74</v>
      </c>
      <c r="F97">
        <v>74</v>
      </c>
      <c r="G97">
        <v>2.5028060239999999</v>
      </c>
      <c r="H97">
        <v>2.2133534361999998</v>
      </c>
    </row>
    <row r="98" spans="1:8">
      <c r="A98" s="5">
        <v>45352</v>
      </c>
      <c r="B98" s="2">
        <v>122.76900000000001</v>
      </c>
      <c r="C98">
        <v>75</v>
      </c>
      <c r="D98">
        <v>2.7097799715552617</v>
      </c>
      <c r="E98">
        <v>75</v>
      </c>
      <c r="F98">
        <v>75</v>
      </c>
      <c r="G98">
        <v>2.7097799720000002</v>
      </c>
      <c r="H98">
        <v>1.9854998552000001</v>
      </c>
    </row>
  </sheetData>
  <phoneticPr fontId="2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97"/>
  <sheetViews>
    <sheetView topLeftCell="A73" zoomScale="89" zoomScaleNormal="89" workbookViewId="0">
      <selection activeCell="I100" sqref="I100"/>
    </sheetView>
  </sheetViews>
  <sheetFormatPr defaultColWidth="20.6640625" defaultRowHeight="13.2"/>
  <cols>
    <col min="1" max="1" width="20.6640625" customWidth="1"/>
    <col min="2" max="2" width="12.6640625" customWidth="1"/>
    <col min="3" max="3" width="3.5546875" bestFit="1" customWidth="1"/>
    <col min="4" max="4" width="12.77734375" bestFit="1" customWidth="1"/>
    <col min="5" max="6" width="3.5546875" bestFit="1" customWidth="1"/>
    <col min="7" max="8" width="12.77734375" bestFit="1" customWidth="1"/>
    <col min="9" max="22" width="20.6640625" customWidth="1"/>
    <col min="23" max="23" width="8.6640625" bestFit="1" customWidth="1"/>
    <col min="24" max="24" width="3.21875" bestFit="1" customWidth="1"/>
    <col min="25" max="25" width="8.33203125" bestFit="1" customWidth="1"/>
    <col min="26" max="27" width="3.5546875" bestFit="1" customWidth="1"/>
    <col min="28" max="28" width="8.5546875" bestFit="1" customWidth="1"/>
    <col min="29" max="29" width="12.77734375" bestFit="1" customWidth="1"/>
    <col min="30" max="30" width="11.77734375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8" spans="1:2">
      <c r="A8" t="s">
        <v>6</v>
      </c>
      <c r="B8" t="s">
        <v>7</v>
      </c>
    </row>
    <row r="10" spans="1:2">
      <c r="A10" t="s">
        <v>8</v>
      </c>
    </row>
    <row r="11" spans="1:2">
      <c r="A11" t="s">
        <v>9</v>
      </c>
      <c r="B11" t="s">
        <v>6</v>
      </c>
    </row>
    <row r="12" spans="1:2">
      <c r="A12" s="1">
        <v>42736</v>
      </c>
      <c r="B12" s="2">
        <v>99.450999999999993</v>
      </c>
    </row>
    <row r="13" spans="1:2">
      <c r="A13" s="1">
        <v>42767</v>
      </c>
      <c r="B13" s="2">
        <v>99.585999999999999</v>
      </c>
    </row>
    <row r="14" spans="1:2">
      <c r="A14" s="1">
        <v>42795</v>
      </c>
      <c r="B14" s="2">
        <v>99.534999999999997</v>
      </c>
    </row>
    <row r="15" spans="1:2">
      <c r="A15" s="1">
        <v>42826</v>
      </c>
      <c r="B15" s="2">
        <v>99.724999999999994</v>
      </c>
    </row>
    <row r="16" spans="1:2">
      <c r="A16" s="1">
        <v>42856</v>
      </c>
      <c r="B16" s="2">
        <v>99.682000000000002</v>
      </c>
    </row>
    <row r="17" spans="1:30">
      <c r="A17" s="1">
        <v>42887</v>
      </c>
      <c r="B17" s="2">
        <v>99.766000000000005</v>
      </c>
    </row>
    <row r="18" spans="1:30">
      <c r="A18" s="1">
        <v>42917</v>
      </c>
      <c r="B18" s="2">
        <v>99.802999999999997</v>
      </c>
    </row>
    <row r="19" spans="1:30">
      <c r="A19" s="1">
        <v>42948</v>
      </c>
      <c r="B19" s="2">
        <v>100.027</v>
      </c>
    </row>
    <row r="20" spans="1:30">
      <c r="A20" s="1">
        <v>42979</v>
      </c>
      <c r="B20" s="2">
        <v>100.4</v>
      </c>
    </row>
    <row r="21" spans="1:30">
      <c r="A21" s="1">
        <v>43009</v>
      </c>
      <c r="B21" s="2">
        <v>100.53100000000001</v>
      </c>
    </row>
    <row r="22" spans="1:30">
      <c r="A22" s="1">
        <v>43040</v>
      </c>
      <c r="B22" s="2">
        <v>100.675</v>
      </c>
    </row>
    <row r="23" spans="1:30" ht="13.8">
      <c r="A23" s="1">
        <v>43070</v>
      </c>
      <c r="B23" s="2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30" ht="13.8">
      <c r="A24" s="5">
        <v>43101</v>
      </c>
      <c r="B24" s="2">
        <v>101.199</v>
      </c>
      <c r="C24">
        <v>1</v>
      </c>
      <c r="D24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10</v>
      </c>
      <c r="W24" s="5">
        <v>43101</v>
      </c>
      <c r="X24" s="7">
        <v>1</v>
      </c>
      <c r="Y24" s="2">
        <v>101.199</v>
      </c>
      <c r="Z24">
        <v>1</v>
      </c>
      <c r="AA24">
        <v>1</v>
      </c>
      <c r="AB24">
        <v>101.199</v>
      </c>
      <c r="AC24">
        <v>101.21961904760001</v>
      </c>
      <c r="AD24" t="s">
        <v>10</v>
      </c>
    </row>
    <row r="25" spans="1:30">
      <c r="A25" s="5">
        <v>43132</v>
      </c>
      <c r="B25" s="2">
        <v>101.416</v>
      </c>
      <c r="C25">
        <v>2</v>
      </c>
      <c r="D25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123</v>
      </c>
      <c r="W25" s="5">
        <v>43132</v>
      </c>
      <c r="X25">
        <v>2</v>
      </c>
      <c r="Y25" s="2">
        <v>101.416</v>
      </c>
      <c r="Z25">
        <v>2</v>
      </c>
      <c r="AA25">
        <v>2</v>
      </c>
      <c r="AB25">
        <v>101.416</v>
      </c>
      <c r="AC25">
        <v>101.39010476190001</v>
      </c>
      <c r="AD25" t="s">
        <v>123</v>
      </c>
    </row>
    <row r="26" spans="1:30">
      <c r="A26" s="5">
        <v>43160</v>
      </c>
      <c r="B26" s="2">
        <v>101.524</v>
      </c>
      <c r="C26">
        <v>3</v>
      </c>
      <c r="D26">
        <f t="shared" ref="D26:D89" si="0"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  <c r="W26" s="5">
        <v>43160</v>
      </c>
      <c r="X26" s="7">
        <v>3</v>
      </c>
      <c r="Y26" s="2">
        <v>101.524</v>
      </c>
      <c r="Z26">
        <v>3</v>
      </c>
      <c r="AA26">
        <v>3</v>
      </c>
      <c r="AB26">
        <v>101.524</v>
      </c>
      <c r="AC26">
        <v>101.56059047620001</v>
      </c>
      <c r="AD26" t="s">
        <v>12</v>
      </c>
    </row>
    <row r="27" spans="1:30">
      <c r="A27" s="5">
        <v>43191</v>
      </c>
      <c r="B27" s="2">
        <v>101.76600000000001</v>
      </c>
      <c r="C27">
        <v>4</v>
      </c>
      <c r="D27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  <c r="W27" s="5">
        <v>43191</v>
      </c>
      <c r="X27">
        <v>4</v>
      </c>
      <c r="Y27" s="2">
        <v>101.76600000000001</v>
      </c>
      <c r="Z27">
        <v>4</v>
      </c>
      <c r="AA27">
        <v>4</v>
      </c>
      <c r="AB27">
        <v>101.76600000000001</v>
      </c>
      <c r="AC27">
        <v>101.7310761905</v>
      </c>
      <c r="AD27" t="s">
        <v>13</v>
      </c>
    </row>
    <row r="28" spans="1:30">
      <c r="A28" s="5">
        <v>43221</v>
      </c>
      <c r="B28" s="2">
        <v>101.941</v>
      </c>
      <c r="C28">
        <v>5</v>
      </c>
      <c r="D28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  <c r="W28" s="5">
        <v>43221</v>
      </c>
      <c r="X28" s="7">
        <v>5</v>
      </c>
      <c r="Y28" s="2">
        <v>101.941</v>
      </c>
      <c r="Z28">
        <v>5</v>
      </c>
      <c r="AA28">
        <v>5</v>
      </c>
      <c r="AB28">
        <v>101.941</v>
      </c>
      <c r="AC28">
        <v>101.9015619048</v>
      </c>
      <c r="AD28" t="s">
        <v>14</v>
      </c>
    </row>
    <row r="29" spans="1:30">
      <c r="A29" s="5">
        <v>43252</v>
      </c>
      <c r="B29" s="2">
        <v>102.029</v>
      </c>
      <c r="C29">
        <v>6</v>
      </c>
      <c r="D29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  <c r="W29" s="5">
        <v>43252</v>
      </c>
      <c r="X29">
        <v>6</v>
      </c>
      <c r="Y29" s="2">
        <v>102.029</v>
      </c>
      <c r="Z29">
        <v>6</v>
      </c>
      <c r="AA29">
        <v>6</v>
      </c>
      <c r="AB29">
        <v>102.029</v>
      </c>
      <c r="AC29">
        <v>102.072047619</v>
      </c>
      <c r="AD29" t="s">
        <v>68</v>
      </c>
    </row>
    <row r="30" spans="1:30">
      <c r="A30" s="5">
        <v>43282</v>
      </c>
      <c r="B30" s="2">
        <v>102.137</v>
      </c>
      <c r="C30">
        <v>7</v>
      </c>
      <c r="D30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  <c r="W30" s="5">
        <v>43282</v>
      </c>
      <c r="X30" s="7">
        <v>7</v>
      </c>
      <c r="Y30" s="2">
        <v>102.137</v>
      </c>
      <c r="Z30">
        <v>7</v>
      </c>
      <c r="AA30">
        <v>7</v>
      </c>
      <c r="AB30">
        <v>102.137</v>
      </c>
      <c r="AC30">
        <v>102.1436666667</v>
      </c>
      <c r="AD30" t="s">
        <v>16</v>
      </c>
    </row>
    <row r="31" spans="1:30">
      <c r="A31" s="5">
        <v>43313</v>
      </c>
      <c r="B31" s="2">
        <v>102.208</v>
      </c>
      <c r="C31">
        <v>8</v>
      </c>
      <c r="D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  <c r="W31" s="5">
        <v>43313</v>
      </c>
      <c r="X31">
        <v>8</v>
      </c>
      <c r="Y31" s="2">
        <v>102.208</v>
      </c>
      <c r="Z31">
        <v>8</v>
      </c>
      <c r="AA31">
        <v>8</v>
      </c>
      <c r="AB31">
        <v>102.208</v>
      </c>
      <c r="AC31">
        <v>102.26546666669999</v>
      </c>
    </row>
    <row r="32" spans="1:30">
      <c r="A32" s="5">
        <v>43344</v>
      </c>
      <c r="B32" s="2">
        <v>102.41800000000001</v>
      </c>
      <c r="C32">
        <v>9</v>
      </c>
      <c r="D32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  <c r="W32" s="5">
        <v>43344</v>
      </c>
      <c r="X32" s="7">
        <v>9</v>
      </c>
      <c r="Y32" s="2">
        <v>102.41800000000001</v>
      </c>
      <c r="Z32">
        <v>9</v>
      </c>
      <c r="AA32">
        <v>9</v>
      </c>
      <c r="AB32">
        <v>102.41800000000001</v>
      </c>
      <c r="AC32">
        <v>102.3872666667</v>
      </c>
      <c r="AD32" t="s">
        <v>69</v>
      </c>
    </row>
    <row r="33" spans="1:30">
      <c r="A33" s="5">
        <v>43374</v>
      </c>
      <c r="B33" s="2">
        <v>102.595</v>
      </c>
      <c r="C33">
        <v>10</v>
      </c>
      <c r="D33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  <c r="W33" s="5">
        <v>43374</v>
      </c>
      <c r="X33">
        <v>10</v>
      </c>
      <c r="Y33" s="2">
        <v>102.595</v>
      </c>
      <c r="Z33">
        <v>10</v>
      </c>
      <c r="AA33">
        <v>10</v>
      </c>
      <c r="AB33">
        <v>102.595</v>
      </c>
      <c r="AC33">
        <v>102.50906666669999</v>
      </c>
      <c r="AD33" t="s">
        <v>70</v>
      </c>
    </row>
    <row r="34" spans="1:30">
      <c r="A34" s="5">
        <v>43405</v>
      </c>
      <c r="B34" s="2">
        <v>102.63</v>
      </c>
      <c r="C34">
        <v>11</v>
      </c>
      <c r="D34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  <c r="W34" s="5">
        <v>43405</v>
      </c>
      <c r="X34" s="7">
        <v>11</v>
      </c>
      <c r="Y34" s="2">
        <v>102.63</v>
      </c>
      <c r="Z34">
        <v>11</v>
      </c>
      <c r="AA34">
        <v>11</v>
      </c>
      <c r="AB34">
        <v>102.63</v>
      </c>
      <c r="AC34">
        <v>102.6308666667</v>
      </c>
      <c r="AD34" t="s">
        <v>71</v>
      </c>
    </row>
    <row r="35" spans="1:30">
      <c r="A35" s="5">
        <v>43435</v>
      </c>
      <c r="B35" s="2">
        <v>102.70099999999999</v>
      </c>
      <c r="C35">
        <v>12</v>
      </c>
      <c r="D35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  <c r="W35" s="5">
        <v>43435</v>
      </c>
      <c r="X35">
        <v>12</v>
      </c>
      <c r="Y35" s="2">
        <v>102.70099999999999</v>
      </c>
      <c r="Z35">
        <v>12</v>
      </c>
      <c r="AA35">
        <v>12</v>
      </c>
      <c r="AB35">
        <v>102.70099999999999</v>
      </c>
      <c r="AC35">
        <v>102.75266666669999</v>
      </c>
      <c r="AD35" t="s">
        <v>72</v>
      </c>
    </row>
    <row r="36" spans="1:30">
      <c r="A36" s="5">
        <v>43466</v>
      </c>
      <c r="B36" s="2">
        <v>102.714</v>
      </c>
      <c r="C36">
        <v>13</v>
      </c>
      <c r="D36">
        <f t="shared" si="0"/>
        <v>1.4970503661103376</v>
      </c>
      <c r="E36">
        <v>13</v>
      </c>
      <c r="F36">
        <v>13</v>
      </c>
      <c r="G36">
        <v>1.4970503660000001</v>
      </c>
      <c r="H36">
        <v>1.5253491168</v>
      </c>
      <c r="I36" t="s">
        <v>21</v>
      </c>
      <c r="W36" s="5">
        <v>43466</v>
      </c>
      <c r="X36" s="7">
        <v>13</v>
      </c>
      <c r="Y36" s="2">
        <v>102.714</v>
      </c>
      <c r="Z36">
        <v>13</v>
      </c>
      <c r="AA36">
        <v>13</v>
      </c>
      <c r="AB36">
        <v>102.714</v>
      </c>
      <c r="AC36">
        <v>102.7580714286</v>
      </c>
      <c r="AD36" t="s">
        <v>73</v>
      </c>
    </row>
    <row r="37" spans="1:30">
      <c r="A37" s="5">
        <v>43497</v>
      </c>
      <c r="B37" s="2">
        <v>102.86199999999999</v>
      </c>
      <c r="C37">
        <v>14</v>
      </c>
      <c r="D37">
        <f t="shared" si="0"/>
        <v>1.4258105229943974</v>
      </c>
      <c r="E37">
        <v>14</v>
      </c>
      <c r="F37">
        <v>14</v>
      </c>
      <c r="G37">
        <v>1.425810523</v>
      </c>
      <c r="H37">
        <v>1.5058576435</v>
      </c>
      <c r="I37" t="s">
        <v>22</v>
      </c>
      <c r="W37" s="5">
        <v>43497</v>
      </c>
      <c r="X37">
        <v>14</v>
      </c>
      <c r="Y37" s="2">
        <v>102.86199999999999</v>
      </c>
      <c r="Z37">
        <v>14</v>
      </c>
      <c r="AA37">
        <v>14</v>
      </c>
      <c r="AB37">
        <v>102.86199999999999</v>
      </c>
      <c r="AC37">
        <v>102.9104285714</v>
      </c>
      <c r="AD37" t="s">
        <v>74</v>
      </c>
    </row>
    <row r="38" spans="1:30">
      <c r="A38" s="5">
        <v>43525</v>
      </c>
      <c r="B38" s="2">
        <v>103.056</v>
      </c>
      <c r="C38">
        <v>15</v>
      </c>
      <c r="D38">
        <f t="shared" si="0"/>
        <v>1.5090027973681066</v>
      </c>
      <c r="E38">
        <v>15</v>
      </c>
      <c r="F38">
        <v>15</v>
      </c>
      <c r="G38">
        <v>1.509002797</v>
      </c>
      <c r="H38">
        <v>1.4863661703</v>
      </c>
      <c r="I38" t="s">
        <v>23</v>
      </c>
      <c r="W38" s="5">
        <v>43525</v>
      </c>
      <c r="X38" s="7">
        <v>15</v>
      </c>
      <c r="Y38" s="2">
        <v>103.056</v>
      </c>
      <c r="Z38">
        <v>15</v>
      </c>
      <c r="AA38">
        <v>15</v>
      </c>
      <c r="AB38">
        <v>103.056</v>
      </c>
      <c r="AC38">
        <v>103.06278571430001</v>
      </c>
      <c r="AD38" t="s">
        <v>75</v>
      </c>
    </row>
    <row r="39" spans="1:30">
      <c r="A39" s="5">
        <v>43556</v>
      </c>
      <c r="B39" s="2">
        <v>103.371</v>
      </c>
      <c r="C39">
        <v>16</v>
      </c>
      <c r="D39">
        <f t="shared" si="0"/>
        <v>1.5771475738458716</v>
      </c>
      <c r="E39">
        <v>16</v>
      </c>
      <c r="F39">
        <v>16</v>
      </c>
      <c r="G39">
        <v>1.5771475740000001</v>
      </c>
      <c r="H39">
        <v>1.4668746969999999</v>
      </c>
      <c r="I39" t="s">
        <v>24</v>
      </c>
      <c r="W39" s="5">
        <v>43556</v>
      </c>
      <c r="X39">
        <v>16</v>
      </c>
      <c r="Y39" s="2">
        <v>103.371</v>
      </c>
      <c r="Z39">
        <v>16</v>
      </c>
      <c r="AA39">
        <v>16</v>
      </c>
      <c r="AB39">
        <v>103.371</v>
      </c>
      <c r="AC39">
        <v>103.21514285710001</v>
      </c>
      <c r="AD39" t="s">
        <v>76</v>
      </c>
    </row>
    <row r="40" spans="1:30">
      <c r="A40" s="5">
        <v>43586</v>
      </c>
      <c r="B40" s="2">
        <v>103.426</v>
      </c>
      <c r="C40">
        <v>17</v>
      </c>
      <c r="D40">
        <f t="shared" si="0"/>
        <v>1.4567249683640531</v>
      </c>
      <c r="E40">
        <v>17</v>
      </c>
      <c r="F40">
        <v>17</v>
      </c>
      <c r="G40">
        <v>1.4567249680000001</v>
      </c>
      <c r="H40">
        <v>1.4473832236999999</v>
      </c>
      <c r="I40" t="s">
        <v>25</v>
      </c>
      <c r="W40" s="5">
        <v>43586</v>
      </c>
      <c r="X40" s="7">
        <v>17</v>
      </c>
      <c r="Y40" s="2">
        <v>103.426</v>
      </c>
      <c r="Z40">
        <v>17</v>
      </c>
      <c r="AA40">
        <v>17</v>
      </c>
      <c r="AB40">
        <v>103.426</v>
      </c>
      <c r="AC40">
        <v>103.36750000000001</v>
      </c>
      <c r="AD40" t="s">
        <v>77</v>
      </c>
    </row>
    <row r="41" spans="1:30">
      <c r="A41" s="5">
        <v>43617</v>
      </c>
      <c r="B41" s="2">
        <v>103.46899999999999</v>
      </c>
      <c r="C41">
        <v>18</v>
      </c>
      <c r="D41">
        <f t="shared" si="0"/>
        <v>1.4113634358858733</v>
      </c>
      <c r="E41">
        <v>18</v>
      </c>
      <c r="F41">
        <v>18</v>
      </c>
      <c r="G41">
        <v>1.411363436</v>
      </c>
      <c r="H41">
        <v>1.4278917504999999</v>
      </c>
      <c r="I41" t="s">
        <v>26</v>
      </c>
      <c r="W41" s="5">
        <v>43617</v>
      </c>
      <c r="X41">
        <v>18</v>
      </c>
      <c r="Y41" s="2">
        <v>103.46899999999999</v>
      </c>
      <c r="Z41">
        <v>18</v>
      </c>
      <c r="AA41">
        <v>18</v>
      </c>
      <c r="AB41">
        <v>103.46899999999999</v>
      </c>
      <c r="AC41">
        <v>103.51985714289999</v>
      </c>
      <c r="AD41" t="s">
        <v>78</v>
      </c>
    </row>
    <row r="42" spans="1:30">
      <c r="A42" s="5">
        <v>43647</v>
      </c>
      <c r="B42" s="2">
        <v>103.608</v>
      </c>
      <c r="C42">
        <v>19</v>
      </c>
      <c r="D42">
        <f t="shared" si="0"/>
        <v>1.4402224463221003</v>
      </c>
      <c r="E42">
        <v>19</v>
      </c>
      <c r="F42">
        <v>19</v>
      </c>
      <c r="G42">
        <v>1.4402224459999999</v>
      </c>
      <c r="H42">
        <v>1.4084002771999999</v>
      </c>
      <c r="I42" t="s">
        <v>27</v>
      </c>
      <c r="W42" s="5">
        <v>43647</v>
      </c>
      <c r="X42" s="7">
        <v>19</v>
      </c>
      <c r="Y42" s="2">
        <v>103.608</v>
      </c>
      <c r="Z42">
        <v>19</v>
      </c>
      <c r="AA42">
        <v>19</v>
      </c>
      <c r="AB42">
        <v>103.608</v>
      </c>
      <c r="AC42">
        <v>103.67221428569999</v>
      </c>
      <c r="AD42" t="s">
        <v>79</v>
      </c>
    </row>
    <row r="43" spans="1:30">
      <c r="A43" s="5">
        <v>43678</v>
      </c>
      <c r="B43" s="2">
        <v>103.661</v>
      </c>
      <c r="C43">
        <v>20</v>
      </c>
      <c r="D43">
        <f t="shared" si="0"/>
        <v>1.4216108328115244</v>
      </c>
      <c r="E43">
        <v>20</v>
      </c>
      <c r="F43">
        <v>20</v>
      </c>
      <c r="G43">
        <v>1.4216108329999999</v>
      </c>
      <c r="H43">
        <v>1.3889088038999999</v>
      </c>
      <c r="I43" t="s">
        <v>28</v>
      </c>
      <c r="W43" s="5">
        <v>43678</v>
      </c>
      <c r="X43">
        <v>20</v>
      </c>
      <c r="Y43" s="2">
        <v>103.661</v>
      </c>
      <c r="Z43">
        <v>20</v>
      </c>
      <c r="AA43">
        <v>20</v>
      </c>
      <c r="AB43">
        <v>103.661</v>
      </c>
      <c r="AC43">
        <v>103.6235357143</v>
      </c>
      <c r="AD43" t="s">
        <v>80</v>
      </c>
    </row>
    <row r="44" spans="1:30">
      <c r="A44" s="5">
        <v>43709</v>
      </c>
      <c r="B44" s="2">
        <v>103.754</v>
      </c>
      <c r="C44">
        <v>21</v>
      </c>
      <c r="D44">
        <f t="shared" si="0"/>
        <v>1.3044582007069054</v>
      </c>
      <c r="E44">
        <v>21</v>
      </c>
      <c r="F44">
        <v>21</v>
      </c>
      <c r="G44">
        <v>1.3044582010000001</v>
      </c>
      <c r="H44">
        <v>1.3694173305999999</v>
      </c>
      <c r="I44" t="s">
        <v>29</v>
      </c>
      <c r="W44" s="5">
        <v>43709</v>
      </c>
      <c r="X44" s="7">
        <v>21</v>
      </c>
      <c r="Y44" s="2">
        <v>103.754</v>
      </c>
      <c r="Z44">
        <v>21</v>
      </c>
      <c r="AA44">
        <v>21</v>
      </c>
      <c r="AB44">
        <v>103.754</v>
      </c>
      <c r="AC44">
        <v>103.78064285710001</v>
      </c>
      <c r="AD44" t="s">
        <v>81</v>
      </c>
    </row>
    <row r="45" spans="1:30">
      <c r="A45" s="5">
        <v>43739</v>
      </c>
      <c r="B45" s="2">
        <v>103.961</v>
      </c>
      <c r="C45">
        <v>22</v>
      </c>
      <c r="D45">
        <f t="shared" si="0"/>
        <v>1.3314489010185679</v>
      </c>
      <c r="E45">
        <v>22</v>
      </c>
      <c r="F45">
        <v>22</v>
      </c>
      <c r="G45">
        <v>1.3314489009999999</v>
      </c>
      <c r="H45">
        <v>1.3499258573999999</v>
      </c>
      <c r="I45" t="s">
        <v>30</v>
      </c>
      <c r="W45" s="5">
        <v>43739</v>
      </c>
      <c r="X45">
        <v>22</v>
      </c>
      <c r="Y45" s="2">
        <v>103.961</v>
      </c>
      <c r="Z45">
        <v>22</v>
      </c>
      <c r="AA45">
        <v>22</v>
      </c>
      <c r="AB45">
        <v>103.961</v>
      </c>
      <c r="AC45">
        <v>103.93774999999999</v>
      </c>
      <c r="AD45" t="s">
        <v>82</v>
      </c>
    </row>
    <row r="46" spans="1:30">
      <c r="A46" s="5">
        <v>43770</v>
      </c>
      <c r="B46" s="2">
        <v>103.997</v>
      </c>
      <c r="C46">
        <v>23</v>
      </c>
      <c r="D46">
        <f t="shared" si="0"/>
        <v>1.3319692097827189</v>
      </c>
      <c r="E46">
        <v>23</v>
      </c>
      <c r="F46">
        <v>23</v>
      </c>
      <c r="G46">
        <v>1.33196921</v>
      </c>
      <c r="H46">
        <v>1.3304343840999999</v>
      </c>
      <c r="I46" t="s">
        <v>31</v>
      </c>
      <c r="W46" s="5">
        <v>43770</v>
      </c>
      <c r="X46" s="7">
        <v>23</v>
      </c>
      <c r="Y46" s="2">
        <v>103.997</v>
      </c>
      <c r="Z46">
        <v>23</v>
      </c>
      <c r="AA46">
        <v>23</v>
      </c>
      <c r="AB46">
        <v>103.997</v>
      </c>
      <c r="AC46">
        <v>104.0948571429</v>
      </c>
      <c r="AD46" t="s">
        <v>83</v>
      </c>
    </row>
    <row r="47" spans="1:30">
      <c r="A47" s="5">
        <v>43800</v>
      </c>
      <c r="B47" s="2">
        <v>104.282</v>
      </c>
      <c r="C47">
        <v>24</v>
      </c>
      <c r="D47">
        <f t="shared" si="0"/>
        <v>1.5394202588095571</v>
      </c>
      <c r="E47">
        <v>24</v>
      </c>
      <c r="F47">
        <v>24</v>
      </c>
      <c r="G47">
        <v>1.5394202589999999</v>
      </c>
      <c r="H47">
        <v>1.8483446670999999</v>
      </c>
      <c r="I47" t="s">
        <v>32</v>
      </c>
      <c r="W47" s="5">
        <v>43800</v>
      </c>
      <c r="X47">
        <v>24</v>
      </c>
      <c r="Y47" s="2">
        <v>104.282</v>
      </c>
      <c r="Z47">
        <v>24</v>
      </c>
      <c r="AA47">
        <v>24</v>
      </c>
      <c r="AB47">
        <v>104.282</v>
      </c>
      <c r="AC47">
        <v>104.2519642857</v>
      </c>
      <c r="AD47" t="s">
        <v>84</v>
      </c>
    </row>
    <row r="48" spans="1:30">
      <c r="A48" s="5">
        <v>43831</v>
      </c>
      <c r="B48" s="2">
        <v>104.458</v>
      </c>
      <c r="C48">
        <v>25</v>
      </c>
      <c r="D48">
        <f t="shared" si="0"/>
        <v>1.6979184921237609</v>
      </c>
      <c r="E48">
        <v>25</v>
      </c>
      <c r="F48">
        <v>25</v>
      </c>
      <c r="G48">
        <v>1.6979184919999999</v>
      </c>
      <c r="H48">
        <v>1.5680777449000001</v>
      </c>
      <c r="I48" t="s">
        <v>33</v>
      </c>
      <c r="W48" s="5">
        <v>43831</v>
      </c>
      <c r="X48" s="7">
        <v>25</v>
      </c>
      <c r="Y48" s="2">
        <v>104.458</v>
      </c>
      <c r="Z48">
        <v>25</v>
      </c>
      <c r="AA48">
        <v>25</v>
      </c>
      <c r="AB48">
        <v>104.458</v>
      </c>
      <c r="AC48">
        <v>104.4090714286</v>
      </c>
      <c r="AD48" t="s">
        <v>85</v>
      </c>
    </row>
    <row r="49" spans="1:30">
      <c r="A49" s="5">
        <v>43862</v>
      </c>
      <c r="B49" s="2">
        <v>104.551</v>
      </c>
      <c r="C49">
        <v>26</v>
      </c>
      <c r="D49">
        <f t="shared" si="0"/>
        <v>1.6420057941708379</v>
      </c>
      <c r="E49">
        <v>26</v>
      </c>
      <c r="F49">
        <v>26</v>
      </c>
      <c r="G49">
        <v>1.6420057939999999</v>
      </c>
      <c r="H49">
        <v>1.2878108226</v>
      </c>
      <c r="I49" t="s">
        <v>34</v>
      </c>
      <c r="W49" s="5">
        <v>43862</v>
      </c>
      <c r="X49">
        <v>26</v>
      </c>
      <c r="Y49" s="2">
        <v>104.551</v>
      </c>
      <c r="Z49">
        <v>26</v>
      </c>
      <c r="AA49">
        <v>26</v>
      </c>
      <c r="AB49">
        <v>104.551</v>
      </c>
      <c r="AC49">
        <v>104.5661785714</v>
      </c>
      <c r="AD49" t="s">
        <v>86</v>
      </c>
    </row>
    <row r="50" spans="1:30">
      <c r="A50" s="5">
        <v>43891</v>
      </c>
      <c r="B50" s="2">
        <v>104.238</v>
      </c>
      <c r="C50">
        <v>27</v>
      </c>
      <c r="D50">
        <f t="shared" si="0"/>
        <v>1.1469492314857963</v>
      </c>
      <c r="E50">
        <v>27</v>
      </c>
      <c r="F50">
        <v>27</v>
      </c>
      <c r="G50">
        <v>1.146949231</v>
      </c>
      <c r="H50">
        <v>1.0075439004</v>
      </c>
      <c r="I50" t="s">
        <v>35</v>
      </c>
      <c r="W50" s="5">
        <v>43891</v>
      </c>
      <c r="X50" s="7">
        <v>27</v>
      </c>
      <c r="Y50" s="2">
        <v>104.238</v>
      </c>
      <c r="Z50">
        <v>27</v>
      </c>
      <c r="AA50">
        <v>27</v>
      </c>
      <c r="AB50">
        <v>104.238</v>
      </c>
      <c r="AC50">
        <v>103.5963406593</v>
      </c>
      <c r="AD50" t="s">
        <v>87</v>
      </c>
    </row>
    <row r="51" spans="1:30">
      <c r="A51" s="5">
        <v>43922</v>
      </c>
      <c r="B51" s="2">
        <v>103.79600000000001</v>
      </c>
      <c r="C51">
        <v>28</v>
      </c>
      <c r="D51">
        <f t="shared" si="0"/>
        <v>0.41114045525341864</v>
      </c>
      <c r="E51">
        <v>28</v>
      </c>
      <c r="F51">
        <v>28</v>
      </c>
      <c r="G51">
        <v>0.41114045500000002</v>
      </c>
      <c r="H51">
        <v>0.72727697810000003</v>
      </c>
      <c r="I51" t="s">
        <v>36</v>
      </c>
      <c r="W51" s="5">
        <v>43922</v>
      </c>
      <c r="X51">
        <v>28</v>
      </c>
      <c r="Y51" s="2">
        <v>103.79600000000001</v>
      </c>
      <c r="Z51">
        <v>28</v>
      </c>
      <c r="AA51">
        <v>28</v>
      </c>
      <c r="AB51">
        <v>103.79600000000001</v>
      </c>
      <c r="AC51">
        <v>103.84748901099999</v>
      </c>
      <c r="AD51" t="s">
        <v>88</v>
      </c>
    </row>
    <row r="52" spans="1:30">
      <c r="A52" s="5">
        <v>43952</v>
      </c>
      <c r="B52" s="2">
        <v>103.89</v>
      </c>
      <c r="C52">
        <v>29</v>
      </c>
      <c r="D52">
        <f t="shared" si="0"/>
        <v>0.44862993831338216</v>
      </c>
      <c r="E52">
        <v>29</v>
      </c>
      <c r="F52">
        <v>29</v>
      </c>
      <c r="G52">
        <v>0.44862993800000001</v>
      </c>
      <c r="H52">
        <v>0.44701005589999998</v>
      </c>
      <c r="I52" t="s">
        <v>37</v>
      </c>
      <c r="W52" s="5">
        <v>43952</v>
      </c>
      <c r="X52" s="7">
        <v>29</v>
      </c>
      <c r="Y52" s="2">
        <v>103.89</v>
      </c>
      <c r="Z52">
        <v>29</v>
      </c>
      <c r="AA52">
        <v>29</v>
      </c>
      <c r="AB52">
        <v>103.89</v>
      </c>
      <c r="AC52">
        <v>104.0986373626</v>
      </c>
      <c r="AD52" t="s">
        <v>89</v>
      </c>
    </row>
    <row r="53" spans="1:30">
      <c r="A53" s="5">
        <v>43983</v>
      </c>
      <c r="B53" s="2">
        <v>104.199</v>
      </c>
      <c r="C53">
        <v>30</v>
      </c>
      <c r="D53">
        <f t="shared" si="0"/>
        <v>0.70552532642627652</v>
      </c>
      <c r="E53">
        <v>30</v>
      </c>
      <c r="F53">
        <v>30</v>
      </c>
      <c r="G53">
        <v>0.70552532599999995</v>
      </c>
      <c r="H53">
        <v>0.79284869540000003</v>
      </c>
      <c r="I53" t="s">
        <v>38</v>
      </c>
      <c r="W53" s="5">
        <v>43983</v>
      </c>
      <c r="X53">
        <v>30</v>
      </c>
      <c r="Y53" s="2">
        <v>104.199</v>
      </c>
      <c r="Z53">
        <v>30</v>
      </c>
      <c r="AA53">
        <v>30</v>
      </c>
      <c r="AB53">
        <v>104.199</v>
      </c>
      <c r="AC53">
        <v>104.3497857143</v>
      </c>
      <c r="AD53" t="s">
        <v>90</v>
      </c>
    </row>
    <row r="54" spans="1:30">
      <c r="A54" s="5">
        <v>44013</v>
      </c>
      <c r="B54" s="2">
        <v>104.541</v>
      </c>
      <c r="C54">
        <v>31</v>
      </c>
      <c r="D54">
        <f t="shared" si="0"/>
        <v>0.90050961315727807</v>
      </c>
      <c r="E54">
        <v>31</v>
      </c>
      <c r="F54">
        <v>31</v>
      </c>
      <c r="G54">
        <v>0.90050961299999999</v>
      </c>
      <c r="H54">
        <v>0.91014849990000002</v>
      </c>
      <c r="I54" t="s">
        <v>39</v>
      </c>
      <c r="W54" s="5">
        <v>44013</v>
      </c>
      <c r="X54" s="7">
        <v>31</v>
      </c>
      <c r="Y54" s="2">
        <v>104.541</v>
      </c>
      <c r="Z54">
        <v>31</v>
      </c>
      <c r="AA54">
        <v>31</v>
      </c>
      <c r="AB54">
        <v>104.541</v>
      </c>
      <c r="AC54">
        <v>104.60093406590001</v>
      </c>
      <c r="AD54" t="s">
        <v>91</v>
      </c>
    </row>
    <row r="55" spans="1:30">
      <c r="A55" s="5">
        <v>44044</v>
      </c>
      <c r="B55" s="2">
        <v>104.869</v>
      </c>
      <c r="C55">
        <v>32</v>
      </c>
      <c r="D55">
        <f t="shared" si="0"/>
        <v>1.1653370119910076</v>
      </c>
      <c r="E55">
        <v>32</v>
      </c>
      <c r="F55">
        <v>32</v>
      </c>
      <c r="G55">
        <v>1.1653370119999999</v>
      </c>
      <c r="H55">
        <v>1.0274483044</v>
      </c>
      <c r="I55" t="s">
        <v>40</v>
      </c>
      <c r="W55" s="5">
        <v>44044</v>
      </c>
      <c r="X55">
        <v>32</v>
      </c>
      <c r="Y55" s="2">
        <v>104.869</v>
      </c>
      <c r="Z55">
        <v>32</v>
      </c>
      <c r="AA55">
        <v>32</v>
      </c>
      <c r="AB55">
        <v>104.869</v>
      </c>
      <c r="AC55">
        <v>104.8520824176</v>
      </c>
      <c r="AD55" t="s">
        <v>92</v>
      </c>
    </row>
    <row r="56" spans="1:30">
      <c r="A56" s="5">
        <v>44075</v>
      </c>
      <c r="B56" s="2">
        <v>105.048</v>
      </c>
      <c r="C56">
        <v>33</v>
      </c>
      <c r="D56">
        <f t="shared" si="0"/>
        <v>1.2471808315823938</v>
      </c>
      <c r="E56">
        <v>33</v>
      </c>
      <c r="F56">
        <v>33</v>
      </c>
      <c r="G56">
        <v>1.247180832</v>
      </c>
      <c r="H56">
        <v>1.1447481089</v>
      </c>
      <c r="I56" t="s">
        <v>41</v>
      </c>
      <c r="W56" s="5">
        <v>44075</v>
      </c>
      <c r="X56" s="7">
        <v>33</v>
      </c>
      <c r="Y56" s="2">
        <v>105.048</v>
      </c>
      <c r="Z56">
        <v>33</v>
      </c>
      <c r="AA56">
        <v>33</v>
      </c>
      <c r="AB56">
        <v>105.048</v>
      </c>
      <c r="AC56">
        <v>105.1032307692</v>
      </c>
      <c r="AD56" t="s">
        <v>93</v>
      </c>
    </row>
    <row r="57" spans="1:30">
      <c r="A57" s="5">
        <v>44105</v>
      </c>
      <c r="B57" s="2">
        <v>105.124</v>
      </c>
      <c r="C57">
        <v>34</v>
      </c>
      <c r="D57">
        <f t="shared" si="0"/>
        <v>1.11868873904637</v>
      </c>
      <c r="E57">
        <v>34</v>
      </c>
      <c r="F57">
        <v>34</v>
      </c>
      <c r="G57">
        <v>1.118688739</v>
      </c>
      <c r="H57">
        <v>1.2620479134</v>
      </c>
      <c r="I57" t="s">
        <v>42</v>
      </c>
      <c r="W57" s="5">
        <v>44105</v>
      </c>
      <c r="X57">
        <v>34</v>
      </c>
      <c r="Y57" s="2">
        <v>105.124</v>
      </c>
      <c r="Z57">
        <v>34</v>
      </c>
      <c r="AA57">
        <v>34</v>
      </c>
      <c r="AB57">
        <v>105.124</v>
      </c>
      <c r="AC57">
        <v>105.35437912090001</v>
      </c>
      <c r="AD57" t="s">
        <v>94</v>
      </c>
    </row>
    <row r="58" spans="1:30">
      <c r="A58" s="5">
        <v>44136</v>
      </c>
      <c r="B58" s="2">
        <v>105.197</v>
      </c>
      <c r="C58">
        <v>35</v>
      </c>
      <c r="D58">
        <f t="shared" si="0"/>
        <v>1.1538794388299689</v>
      </c>
      <c r="E58">
        <v>35</v>
      </c>
      <c r="F58">
        <v>35</v>
      </c>
      <c r="G58">
        <v>1.153879439</v>
      </c>
      <c r="H58">
        <v>1.0193186811999999</v>
      </c>
      <c r="I58" t="s">
        <v>43</v>
      </c>
      <c r="W58" s="5">
        <v>44136</v>
      </c>
      <c r="X58" s="7">
        <v>35</v>
      </c>
      <c r="Y58" s="2">
        <v>105.197</v>
      </c>
      <c r="Z58">
        <v>35</v>
      </c>
      <c r="AA58">
        <v>35</v>
      </c>
      <c r="AB58">
        <v>105.197</v>
      </c>
      <c r="AC58">
        <v>105.6055274725</v>
      </c>
      <c r="AD58" t="s">
        <v>95</v>
      </c>
    </row>
    <row r="59" spans="1:30">
      <c r="A59" s="5">
        <v>44166</v>
      </c>
      <c r="B59" s="2">
        <v>105.70699999999999</v>
      </c>
      <c r="C59">
        <v>36</v>
      </c>
      <c r="D59">
        <f t="shared" si="0"/>
        <v>1.3664870255652914</v>
      </c>
      <c r="E59">
        <v>36</v>
      </c>
      <c r="F59">
        <v>36</v>
      </c>
      <c r="G59">
        <v>1.3664870259999999</v>
      </c>
      <c r="H59">
        <v>1.3830189502000001</v>
      </c>
      <c r="I59" t="s">
        <v>44</v>
      </c>
      <c r="W59" s="5">
        <v>44166</v>
      </c>
      <c r="X59">
        <v>36</v>
      </c>
      <c r="Y59" s="2">
        <v>105.70699999999999</v>
      </c>
      <c r="Z59">
        <v>36</v>
      </c>
      <c r="AA59">
        <v>36</v>
      </c>
      <c r="AB59">
        <v>105.70699999999999</v>
      </c>
      <c r="AC59">
        <v>105.8566758242</v>
      </c>
      <c r="AD59" t="s">
        <v>96</v>
      </c>
    </row>
    <row r="60" spans="1:30">
      <c r="A60" s="5">
        <v>44197</v>
      </c>
      <c r="B60" s="2">
        <v>106.145</v>
      </c>
      <c r="C60">
        <v>37</v>
      </c>
      <c r="D60">
        <f t="shared" si="0"/>
        <v>1.6150031591644467</v>
      </c>
      <c r="E60">
        <v>37</v>
      </c>
      <c r="F60">
        <v>37</v>
      </c>
      <c r="G60">
        <v>1.615003159</v>
      </c>
      <c r="H60">
        <v>1.7467192192000001</v>
      </c>
      <c r="I60" t="s">
        <v>45</v>
      </c>
      <c r="W60" s="5">
        <v>44197</v>
      </c>
      <c r="X60" s="7">
        <v>37</v>
      </c>
      <c r="Y60" s="2">
        <v>106.145</v>
      </c>
      <c r="Z60">
        <v>37</v>
      </c>
      <c r="AA60">
        <v>37</v>
      </c>
      <c r="AB60">
        <v>106.145</v>
      </c>
      <c r="AC60">
        <v>106.1078241758</v>
      </c>
      <c r="AD60" t="s">
        <v>97</v>
      </c>
    </row>
    <row r="61" spans="1:30">
      <c r="A61" s="5">
        <v>44228</v>
      </c>
      <c r="B61" s="2">
        <v>106.52200000000001</v>
      </c>
      <c r="C61">
        <v>38</v>
      </c>
      <c r="D61">
        <f t="shared" si="0"/>
        <v>1.8852043500301323</v>
      </c>
      <c r="E61">
        <v>38</v>
      </c>
      <c r="F61">
        <v>38</v>
      </c>
      <c r="G61">
        <v>1.88520435</v>
      </c>
      <c r="H61">
        <v>2.1104194881999998</v>
      </c>
      <c r="I61" t="s">
        <v>46</v>
      </c>
      <c r="W61" s="5">
        <v>44228</v>
      </c>
      <c r="X61">
        <v>38</v>
      </c>
      <c r="Y61" s="2">
        <v>106.52200000000001</v>
      </c>
      <c r="Z61">
        <v>38</v>
      </c>
      <c r="AA61">
        <v>38</v>
      </c>
      <c r="AB61">
        <v>106.52200000000001</v>
      </c>
      <c r="AC61">
        <v>106.3589725275</v>
      </c>
      <c r="AD61" t="s">
        <v>98</v>
      </c>
    </row>
    <row r="62" spans="1:30">
      <c r="A62" s="5">
        <v>44256</v>
      </c>
      <c r="B62" s="2">
        <v>107.066</v>
      </c>
      <c r="C62">
        <v>39</v>
      </c>
      <c r="D62">
        <f t="shared" si="0"/>
        <v>2.7130221224505489</v>
      </c>
      <c r="E62">
        <v>39</v>
      </c>
      <c r="F62">
        <v>39</v>
      </c>
      <c r="G62">
        <v>2.7130221219999999</v>
      </c>
      <c r="H62">
        <v>2.4741197572</v>
      </c>
      <c r="I62" t="s">
        <v>47</v>
      </c>
      <c r="W62" s="5">
        <v>44256</v>
      </c>
      <c r="X62" s="7">
        <v>39</v>
      </c>
      <c r="Y62" s="2">
        <v>107.066</v>
      </c>
      <c r="Z62">
        <v>39</v>
      </c>
      <c r="AA62">
        <v>39</v>
      </c>
      <c r="AB62">
        <v>107.066</v>
      </c>
      <c r="AC62">
        <v>106.61012087909999</v>
      </c>
      <c r="AD62" t="s">
        <v>99</v>
      </c>
    </row>
    <row r="63" spans="1:30">
      <c r="A63" s="5">
        <v>44287</v>
      </c>
      <c r="B63" s="2">
        <v>107.66200000000001</v>
      </c>
      <c r="C63">
        <v>40</v>
      </c>
      <c r="D63">
        <f t="shared" si="0"/>
        <v>3.7246136652664839</v>
      </c>
      <c r="E63">
        <v>40</v>
      </c>
      <c r="F63">
        <v>40</v>
      </c>
      <c r="G63">
        <v>3.7246136650000001</v>
      </c>
      <c r="H63">
        <v>3.8702564268000001</v>
      </c>
      <c r="I63" t="s">
        <v>48</v>
      </c>
      <c r="W63" s="5">
        <v>44287</v>
      </c>
      <c r="X63">
        <v>40</v>
      </c>
      <c r="Y63" s="2">
        <v>107.66200000000001</v>
      </c>
      <c r="Z63">
        <v>40</v>
      </c>
      <c r="AA63">
        <v>40</v>
      </c>
      <c r="AB63">
        <v>107.66200000000001</v>
      </c>
      <c r="AC63">
        <v>107.69960714290001</v>
      </c>
      <c r="AD63" t="s">
        <v>100</v>
      </c>
    </row>
    <row r="64" spans="1:30">
      <c r="A64" s="5">
        <v>44317</v>
      </c>
      <c r="B64" s="2">
        <v>108.20699999999999</v>
      </c>
      <c r="C64">
        <v>41</v>
      </c>
      <c r="D64">
        <f t="shared" si="0"/>
        <v>4.1553566272018418</v>
      </c>
      <c r="E64">
        <v>41</v>
      </c>
      <c r="F64">
        <v>41</v>
      </c>
      <c r="G64">
        <v>4.1553566269999997</v>
      </c>
      <c r="H64">
        <v>4.0712063672000003</v>
      </c>
      <c r="I64" t="s">
        <v>49</v>
      </c>
      <c r="W64" s="5">
        <v>44317</v>
      </c>
      <c r="X64" s="7">
        <v>41</v>
      </c>
      <c r="Y64" s="2">
        <v>108.20699999999999</v>
      </c>
      <c r="Z64">
        <v>41</v>
      </c>
      <c r="AA64">
        <v>41</v>
      </c>
      <c r="AB64">
        <v>108.20699999999999</v>
      </c>
      <c r="AC64">
        <v>108.2067857143</v>
      </c>
      <c r="AD64" t="s">
        <v>101</v>
      </c>
    </row>
    <row r="65" spans="1:30">
      <c r="A65" s="5">
        <v>44348</v>
      </c>
      <c r="B65" s="2">
        <v>108.755</v>
      </c>
      <c r="C65">
        <v>42</v>
      </c>
      <c r="D65">
        <f t="shared" si="0"/>
        <v>4.3724028061689628</v>
      </c>
      <c r="E65">
        <v>42</v>
      </c>
      <c r="F65">
        <v>42</v>
      </c>
      <c r="G65">
        <v>4.3724028060000002</v>
      </c>
      <c r="H65">
        <v>4.2721563076000004</v>
      </c>
      <c r="I65" t="s">
        <v>50</v>
      </c>
      <c r="W65" s="5">
        <v>44348</v>
      </c>
      <c r="X65">
        <v>42</v>
      </c>
      <c r="Y65" s="2">
        <v>108.755</v>
      </c>
      <c r="Z65">
        <v>42</v>
      </c>
      <c r="AA65">
        <v>42</v>
      </c>
      <c r="AB65">
        <v>108.755</v>
      </c>
      <c r="AC65">
        <v>108.7139642857</v>
      </c>
      <c r="AD65" t="s">
        <v>102</v>
      </c>
    </row>
    <row r="66" spans="1:30">
      <c r="A66" s="5">
        <v>44378</v>
      </c>
      <c r="B66" s="2">
        <v>109.28</v>
      </c>
      <c r="C66">
        <v>43</v>
      </c>
      <c r="D66">
        <f t="shared" si="0"/>
        <v>4.5331496733339112</v>
      </c>
      <c r="E66">
        <v>43</v>
      </c>
      <c r="F66">
        <v>43</v>
      </c>
      <c r="G66">
        <v>4.5331496729999996</v>
      </c>
      <c r="H66">
        <v>4.4731062479999997</v>
      </c>
      <c r="I66" t="s">
        <v>51</v>
      </c>
      <c r="W66" s="5">
        <v>44378</v>
      </c>
      <c r="X66" s="7">
        <v>43</v>
      </c>
      <c r="Y66" s="2">
        <v>109.28</v>
      </c>
      <c r="Z66">
        <v>43</v>
      </c>
      <c r="AA66">
        <v>43</v>
      </c>
      <c r="AB66">
        <v>109.28</v>
      </c>
      <c r="AC66">
        <v>109.22114285710001</v>
      </c>
      <c r="AD66" t="s">
        <v>103</v>
      </c>
    </row>
    <row r="67" spans="1:30">
      <c r="A67" s="5">
        <v>44409</v>
      </c>
      <c r="B67" s="2">
        <v>109.74</v>
      </c>
      <c r="C67">
        <v>44</v>
      </c>
      <c r="D67">
        <f t="shared" si="0"/>
        <v>4.6448426131649914</v>
      </c>
      <c r="E67">
        <v>44</v>
      </c>
      <c r="F67">
        <v>44</v>
      </c>
      <c r="G67">
        <v>4.6448426129999998</v>
      </c>
      <c r="H67">
        <v>4.6740561884999998</v>
      </c>
      <c r="I67" t="s">
        <v>52</v>
      </c>
      <c r="W67" s="5">
        <v>44409</v>
      </c>
      <c r="X67">
        <v>44</v>
      </c>
      <c r="Y67" s="2">
        <v>109.74</v>
      </c>
      <c r="Z67">
        <v>44</v>
      </c>
      <c r="AA67">
        <v>44</v>
      </c>
      <c r="AB67">
        <v>109.74</v>
      </c>
      <c r="AC67">
        <v>109.7283214286</v>
      </c>
      <c r="AD67" t="s">
        <v>104</v>
      </c>
    </row>
    <row r="68" spans="1:30">
      <c r="A68" s="5">
        <v>44440</v>
      </c>
      <c r="B68" s="2">
        <v>110.096</v>
      </c>
      <c r="C68">
        <v>45</v>
      </c>
      <c r="D68">
        <f t="shared" si="0"/>
        <v>4.8054222831467532</v>
      </c>
      <c r="E68">
        <v>45</v>
      </c>
      <c r="F68">
        <v>45</v>
      </c>
      <c r="G68">
        <v>4.8054222830000004</v>
      </c>
      <c r="H68">
        <v>4.8750061289</v>
      </c>
      <c r="I68" t="s">
        <v>53</v>
      </c>
      <c r="W68" s="5">
        <v>44440</v>
      </c>
      <c r="X68" s="7">
        <v>45</v>
      </c>
      <c r="Y68" s="2">
        <v>110.096</v>
      </c>
      <c r="Z68">
        <v>45</v>
      </c>
      <c r="AA68">
        <v>45</v>
      </c>
      <c r="AB68">
        <v>110.096</v>
      </c>
      <c r="AC68">
        <v>110.2355</v>
      </c>
      <c r="AD68" t="s">
        <v>105</v>
      </c>
    </row>
    <row r="69" spans="1:30">
      <c r="A69" s="5">
        <v>44470</v>
      </c>
      <c r="B69" s="2">
        <v>110.80800000000001</v>
      </c>
      <c r="C69">
        <v>46</v>
      </c>
      <c r="D69">
        <f t="shared" si="0"/>
        <v>5.4069479852364948</v>
      </c>
      <c r="E69">
        <v>46</v>
      </c>
      <c r="F69">
        <v>46</v>
      </c>
      <c r="G69">
        <v>5.4069479850000004</v>
      </c>
      <c r="H69">
        <v>5.5590709274999996</v>
      </c>
      <c r="I69" t="s">
        <v>54</v>
      </c>
      <c r="W69" s="5">
        <v>44470</v>
      </c>
      <c r="X69">
        <v>46</v>
      </c>
      <c r="Y69" s="2">
        <v>110.80800000000001</v>
      </c>
      <c r="Z69">
        <v>46</v>
      </c>
      <c r="AA69">
        <v>46</v>
      </c>
      <c r="AB69">
        <v>110.80800000000001</v>
      </c>
      <c r="AC69">
        <v>110.74267857140001</v>
      </c>
      <c r="AD69" t="s">
        <v>106</v>
      </c>
    </row>
    <row r="70" spans="1:30">
      <c r="A70" s="5">
        <v>44501</v>
      </c>
      <c r="B70" s="2">
        <v>111.494</v>
      </c>
      <c r="C70">
        <v>47</v>
      </c>
      <c r="D70">
        <f t="shared" si="0"/>
        <v>5.9859121457836224</v>
      </c>
      <c r="E70">
        <v>47</v>
      </c>
      <c r="F70">
        <v>47</v>
      </c>
      <c r="G70">
        <v>5.9859121460000004</v>
      </c>
      <c r="H70">
        <v>5.8227856459999998</v>
      </c>
      <c r="I70" t="s">
        <v>55</v>
      </c>
      <c r="W70" s="5">
        <v>44501</v>
      </c>
      <c r="X70" s="7">
        <v>47</v>
      </c>
      <c r="Y70" s="2">
        <v>111.494</v>
      </c>
      <c r="Z70">
        <v>47</v>
      </c>
      <c r="AA70">
        <v>47</v>
      </c>
      <c r="AB70">
        <v>111.494</v>
      </c>
      <c r="AC70">
        <v>111.5445357143</v>
      </c>
      <c r="AD70" t="s">
        <v>107</v>
      </c>
    </row>
    <row r="71" spans="1:30">
      <c r="A71" s="5">
        <v>44531</v>
      </c>
      <c r="B71" s="2">
        <v>112.24</v>
      </c>
      <c r="C71">
        <v>48</v>
      </c>
      <c r="D71">
        <f t="shared" si="0"/>
        <v>6.1802908038256712</v>
      </c>
      <c r="E71">
        <v>48</v>
      </c>
      <c r="F71">
        <v>48</v>
      </c>
      <c r="G71">
        <v>6.1802908040000002</v>
      </c>
      <c r="H71">
        <v>6.0865003644</v>
      </c>
      <c r="I71" t="s">
        <v>56</v>
      </c>
      <c r="W71" s="5">
        <v>44531</v>
      </c>
      <c r="X71">
        <v>48</v>
      </c>
      <c r="Y71" s="2">
        <v>112.24</v>
      </c>
      <c r="Z71">
        <v>48</v>
      </c>
      <c r="AA71">
        <v>48</v>
      </c>
      <c r="AB71">
        <v>112.24</v>
      </c>
      <c r="AC71">
        <v>112.2077857143</v>
      </c>
      <c r="AD71" t="s">
        <v>108</v>
      </c>
    </row>
    <row r="72" spans="1:30">
      <c r="A72" s="5">
        <v>44562</v>
      </c>
      <c r="B72" s="2">
        <v>112.82899999999999</v>
      </c>
      <c r="C72">
        <v>49</v>
      </c>
      <c r="D72">
        <f t="shared" si="0"/>
        <v>6.2970464930048493</v>
      </c>
      <c r="E72">
        <v>49</v>
      </c>
      <c r="F72">
        <v>49</v>
      </c>
      <c r="G72">
        <v>6.2970464929999999</v>
      </c>
      <c r="H72">
        <v>6.3502150829000001</v>
      </c>
      <c r="I72" t="s">
        <v>124</v>
      </c>
      <c r="W72" s="5">
        <v>44562</v>
      </c>
      <c r="X72" s="7">
        <v>49</v>
      </c>
      <c r="Y72" s="2">
        <v>112.82899999999999</v>
      </c>
      <c r="Z72">
        <v>49</v>
      </c>
      <c r="AA72">
        <v>49</v>
      </c>
      <c r="AB72">
        <v>112.82899999999999</v>
      </c>
      <c r="AC72">
        <v>112.87103571430001</v>
      </c>
      <c r="AD72" t="s">
        <v>129</v>
      </c>
    </row>
    <row r="73" spans="1:30">
      <c r="A73" s="5">
        <v>44593</v>
      </c>
      <c r="B73" s="2">
        <v>113.496</v>
      </c>
      <c r="C73">
        <v>50</v>
      </c>
      <c r="D73">
        <f t="shared" si="0"/>
        <v>6.5470043746831541</v>
      </c>
      <c r="E73">
        <v>50</v>
      </c>
      <c r="F73">
        <v>50</v>
      </c>
      <c r="G73">
        <v>6.5470043750000002</v>
      </c>
      <c r="H73">
        <v>6.6139298014000003</v>
      </c>
      <c r="I73" t="s">
        <v>125</v>
      </c>
      <c r="W73" s="5">
        <v>44593</v>
      </c>
      <c r="X73">
        <v>50</v>
      </c>
      <c r="Y73" s="2">
        <v>113.496</v>
      </c>
      <c r="Z73">
        <v>50</v>
      </c>
      <c r="AA73">
        <v>50</v>
      </c>
      <c r="AB73">
        <v>113.496</v>
      </c>
      <c r="AC73">
        <v>113.5342857143</v>
      </c>
      <c r="AD73" t="s">
        <v>130</v>
      </c>
    </row>
    <row r="74" spans="1:30">
      <c r="A74" s="5">
        <v>44621</v>
      </c>
      <c r="B74" s="2">
        <v>114.446</v>
      </c>
      <c r="C74">
        <v>51</v>
      </c>
      <c r="D74">
        <f t="shared" si="0"/>
        <v>6.8929445388825537</v>
      </c>
      <c r="E74">
        <v>51</v>
      </c>
      <c r="F74">
        <v>51</v>
      </c>
      <c r="G74">
        <v>6.8929445390000001</v>
      </c>
      <c r="H74">
        <v>6.8776445197999996</v>
      </c>
      <c r="I74" t="s">
        <v>126</v>
      </c>
      <c r="W74" s="5">
        <v>44621</v>
      </c>
      <c r="X74" s="7">
        <v>51</v>
      </c>
      <c r="Y74" s="2">
        <v>114.446</v>
      </c>
      <c r="Z74">
        <v>51</v>
      </c>
      <c r="AA74">
        <v>51</v>
      </c>
      <c r="AB74">
        <v>114.446</v>
      </c>
      <c r="AC74">
        <v>114.1975357143</v>
      </c>
      <c r="AD74" t="s">
        <v>131</v>
      </c>
    </row>
    <row r="75" spans="1:30">
      <c r="A75" s="6">
        <v>44652</v>
      </c>
      <c r="B75" s="3">
        <v>114.789</v>
      </c>
      <c r="C75" s="4">
        <v>52</v>
      </c>
      <c r="D75" s="4">
        <f t="shared" si="0"/>
        <v>6.619791569913243</v>
      </c>
      <c r="E75" s="4">
        <v>52</v>
      </c>
      <c r="F75" s="4">
        <v>52</v>
      </c>
      <c r="G75" s="4">
        <v>6.6197915700000003</v>
      </c>
      <c r="H75" s="4">
        <v>7.2961332452000001</v>
      </c>
      <c r="I75" t="s">
        <v>127</v>
      </c>
      <c r="W75" s="5">
        <v>44652</v>
      </c>
      <c r="X75">
        <v>52</v>
      </c>
      <c r="Y75" s="2">
        <v>114.789</v>
      </c>
      <c r="Z75">
        <v>52</v>
      </c>
      <c r="AA75">
        <v>52</v>
      </c>
      <c r="AB75">
        <v>114.789</v>
      </c>
      <c r="AC75">
        <v>114.86078571429999</v>
      </c>
      <c r="AD75" t="s">
        <v>132</v>
      </c>
    </row>
    <row r="76" spans="1:30">
      <c r="A76" s="5">
        <v>44682</v>
      </c>
      <c r="B76" s="2">
        <v>115.446</v>
      </c>
      <c r="C76">
        <v>53</v>
      </c>
      <c r="D76">
        <f t="shared" si="0"/>
        <v>6.6899553633313973</v>
      </c>
      <c r="E76">
        <v>53</v>
      </c>
      <c r="F76">
        <v>53</v>
      </c>
      <c r="G76">
        <v>6.6899553630000002</v>
      </c>
      <c r="H76">
        <v>7.0586619148</v>
      </c>
      <c r="I76" t="s">
        <v>128</v>
      </c>
      <c r="W76" s="5">
        <v>44682</v>
      </c>
      <c r="X76" s="7">
        <v>53</v>
      </c>
      <c r="Y76" s="2">
        <v>115.446</v>
      </c>
      <c r="Z76">
        <v>53</v>
      </c>
      <c r="AA76">
        <v>53</v>
      </c>
      <c r="AB76">
        <v>115.446</v>
      </c>
      <c r="AC76">
        <v>115.5240357143</v>
      </c>
      <c r="AD76" t="s">
        <v>133</v>
      </c>
    </row>
    <row r="77" spans="1:30">
      <c r="A77" s="5">
        <v>44713</v>
      </c>
      <c r="B77" s="2">
        <v>116.495</v>
      </c>
      <c r="C77">
        <v>54</v>
      </c>
      <c r="D77">
        <f t="shared" si="0"/>
        <v>7.1169141648659915</v>
      </c>
      <c r="E77">
        <v>54</v>
      </c>
      <c r="F77">
        <v>54</v>
      </c>
      <c r="G77">
        <v>7.1169141649999998</v>
      </c>
      <c r="H77">
        <v>6.8211905844</v>
      </c>
      <c r="W77" s="5">
        <v>44713</v>
      </c>
      <c r="X77">
        <v>54</v>
      </c>
      <c r="Y77" s="2">
        <v>116.495</v>
      </c>
      <c r="Z77">
        <v>54</v>
      </c>
      <c r="AA77">
        <v>54</v>
      </c>
      <c r="AB77">
        <v>116.495</v>
      </c>
      <c r="AC77">
        <v>116.28154545450001</v>
      </c>
    </row>
    <row r="78" spans="1:30">
      <c r="A78" s="5">
        <v>44743</v>
      </c>
      <c r="B78" s="2">
        <v>116.511</v>
      </c>
      <c r="C78">
        <v>55</v>
      </c>
      <c r="D78">
        <f t="shared" si="0"/>
        <v>6.616947291361635</v>
      </c>
      <c r="E78">
        <v>55</v>
      </c>
      <c r="F78">
        <v>55</v>
      </c>
      <c r="G78">
        <v>6.6169472909999998</v>
      </c>
      <c r="H78">
        <v>6.583719254</v>
      </c>
      <c r="W78" s="5">
        <v>44743</v>
      </c>
      <c r="X78" s="7">
        <v>55</v>
      </c>
      <c r="Y78" s="2">
        <v>116.511</v>
      </c>
      <c r="Z78">
        <v>55</v>
      </c>
      <c r="AA78">
        <v>55</v>
      </c>
      <c r="AB78">
        <v>116.511</v>
      </c>
      <c r="AC78">
        <v>116.6493090909</v>
      </c>
    </row>
    <row r="79" spans="1:30">
      <c r="A79" s="5">
        <v>44774</v>
      </c>
      <c r="B79" s="2">
        <v>116.89</v>
      </c>
      <c r="C79">
        <v>56</v>
      </c>
      <c r="D79">
        <f t="shared" si="0"/>
        <v>6.5154000364497957</v>
      </c>
      <c r="E79">
        <v>56</v>
      </c>
      <c r="F79">
        <v>56</v>
      </c>
      <c r="G79">
        <v>6.515400036</v>
      </c>
      <c r="H79">
        <v>6.3462479236</v>
      </c>
      <c r="W79" s="5">
        <v>44774</v>
      </c>
      <c r="X79">
        <v>56</v>
      </c>
      <c r="Y79" s="2">
        <v>116.89</v>
      </c>
      <c r="Z79">
        <v>56</v>
      </c>
      <c r="AA79">
        <v>56</v>
      </c>
      <c r="AB79">
        <v>116.89</v>
      </c>
      <c r="AC79">
        <v>117.0170727273</v>
      </c>
    </row>
    <row r="80" spans="1:30">
      <c r="A80" s="5">
        <v>44805</v>
      </c>
      <c r="B80" s="2">
        <v>117.31399999999999</v>
      </c>
      <c r="C80">
        <v>57</v>
      </c>
      <c r="D80">
        <f t="shared" si="0"/>
        <v>6.5560964976020832</v>
      </c>
      <c r="E80">
        <v>57</v>
      </c>
      <c r="F80">
        <v>57</v>
      </c>
      <c r="G80">
        <v>6.5560964979999996</v>
      </c>
      <c r="H80">
        <v>6.1087765932</v>
      </c>
      <c r="W80" s="5">
        <v>44805</v>
      </c>
      <c r="X80" s="7">
        <v>57</v>
      </c>
      <c r="Y80" s="2">
        <v>117.31399999999999</v>
      </c>
      <c r="Z80">
        <v>57</v>
      </c>
      <c r="AA80">
        <v>57</v>
      </c>
      <c r="AB80">
        <v>117.31399999999999</v>
      </c>
      <c r="AC80">
        <v>117.3848363636</v>
      </c>
    </row>
    <row r="81" spans="1:33">
      <c r="A81" s="5">
        <v>44835</v>
      </c>
      <c r="B81" s="2">
        <v>117.842</v>
      </c>
      <c r="C81">
        <v>58</v>
      </c>
      <c r="D81">
        <f t="shared" si="0"/>
        <v>6.3479171178976168</v>
      </c>
      <c r="E81">
        <v>58</v>
      </c>
      <c r="F81">
        <v>58</v>
      </c>
      <c r="G81">
        <v>6.3479171179999998</v>
      </c>
      <c r="H81">
        <v>5.8713052628</v>
      </c>
      <c r="W81" s="5">
        <v>44835</v>
      </c>
      <c r="X81">
        <v>58</v>
      </c>
      <c r="Y81" s="2">
        <v>117.842</v>
      </c>
      <c r="Z81">
        <v>58</v>
      </c>
      <c r="AA81">
        <v>58</v>
      </c>
      <c r="AB81">
        <v>117.842</v>
      </c>
      <c r="AC81">
        <v>117.7526</v>
      </c>
    </row>
    <row r="82" spans="1:33">
      <c r="A82" s="5">
        <v>44866</v>
      </c>
      <c r="B82" s="2">
        <v>118.104</v>
      </c>
      <c r="C82">
        <v>59</v>
      </c>
      <c r="D82">
        <f t="shared" si="0"/>
        <v>5.9285701472724988</v>
      </c>
      <c r="E82">
        <v>59</v>
      </c>
      <c r="F82">
        <v>59</v>
      </c>
      <c r="G82">
        <v>5.9285701470000003</v>
      </c>
      <c r="H82">
        <v>5.6338339324</v>
      </c>
      <c r="W82" s="5">
        <v>44866</v>
      </c>
      <c r="X82" s="7">
        <v>59</v>
      </c>
      <c r="Y82" s="2">
        <v>118.104</v>
      </c>
      <c r="Z82">
        <v>59</v>
      </c>
      <c r="AA82">
        <v>59</v>
      </c>
      <c r="AB82">
        <v>118.104</v>
      </c>
      <c r="AC82">
        <v>118.1203636364</v>
      </c>
    </row>
    <row r="83" spans="1:33">
      <c r="A83" s="5">
        <v>44896</v>
      </c>
      <c r="B83" s="2">
        <v>118.348</v>
      </c>
      <c r="C83">
        <v>60</v>
      </c>
      <c r="D83">
        <f t="shared" si="0"/>
        <v>5.441910192444765</v>
      </c>
      <c r="E83">
        <v>60</v>
      </c>
      <c r="F83">
        <v>60</v>
      </c>
      <c r="G83">
        <v>5.4419101919999999</v>
      </c>
      <c r="H83">
        <v>5.396362602</v>
      </c>
      <c r="W83" s="5">
        <v>44896</v>
      </c>
      <c r="X83">
        <v>60</v>
      </c>
      <c r="Y83" s="2">
        <v>118.348</v>
      </c>
      <c r="Z83">
        <v>60</v>
      </c>
      <c r="AA83">
        <v>60</v>
      </c>
      <c r="AB83">
        <v>118.348</v>
      </c>
      <c r="AC83">
        <v>118.4881272727</v>
      </c>
    </row>
    <row r="84" spans="1:33">
      <c r="A84" s="5">
        <v>44927</v>
      </c>
      <c r="B84" s="2">
        <v>119.011</v>
      </c>
      <c r="C84">
        <v>61</v>
      </c>
      <c r="D84">
        <f t="shared" si="0"/>
        <v>5.4790878231660329</v>
      </c>
      <c r="E84">
        <v>61</v>
      </c>
      <c r="F84">
        <v>61</v>
      </c>
      <c r="G84">
        <v>5.4790878230000004</v>
      </c>
      <c r="H84">
        <v>5.1588912714999999</v>
      </c>
      <c r="W84" s="5">
        <v>44927</v>
      </c>
      <c r="X84" s="7">
        <v>61</v>
      </c>
      <c r="Y84" s="2">
        <v>119.011</v>
      </c>
      <c r="Z84">
        <v>61</v>
      </c>
      <c r="AA84">
        <v>61</v>
      </c>
      <c r="AB84">
        <v>119.011</v>
      </c>
      <c r="AC84">
        <v>118.8558909091</v>
      </c>
    </row>
    <row r="85" spans="1:33">
      <c r="A85" s="5">
        <v>44958</v>
      </c>
      <c r="B85" s="2">
        <v>119.386</v>
      </c>
      <c r="C85">
        <v>62</v>
      </c>
      <c r="D85">
        <f t="shared" si="0"/>
        <v>5.1896102065271021</v>
      </c>
      <c r="E85">
        <v>62</v>
      </c>
      <c r="F85">
        <v>62</v>
      </c>
      <c r="G85">
        <v>5.1896102070000003</v>
      </c>
      <c r="H85">
        <v>4.9214199410999999</v>
      </c>
      <c r="W85" s="5">
        <v>44958</v>
      </c>
      <c r="X85">
        <v>62</v>
      </c>
      <c r="Y85" s="2">
        <v>119.386</v>
      </c>
      <c r="Z85">
        <v>62</v>
      </c>
      <c r="AA85">
        <v>62</v>
      </c>
      <c r="AB85">
        <v>119.386</v>
      </c>
      <c r="AC85">
        <v>119.2236545455</v>
      </c>
    </row>
    <row r="86" spans="1:33">
      <c r="A86" s="5">
        <v>44986</v>
      </c>
      <c r="B86" s="2">
        <v>119.53</v>
      </c>
      <c r="C86">
        <v>63</v>
      </c>
      <c r="D86">
        <f t="shared" si="0"/>
        <v>4.4422697167222998</v>
      </c>
      <c r="E86">
        <v>63</v>
      </c>
      <c r="F86">
        <v>63</v>
      </c>
      <c r="G86">
        <v>4.4422697170000003</v>
      </c>
      <c r="H86">
        <v>4.6839486106999999</v>
      </c>
      <c r="W86" s="5">
        <v>44986</v>
      </c>
      <c r="X86" s="7">
        <v>63</v>
      </c>
      <c r="Y86" s="2">
        <v>119.53</v>
      </c>
      <c r="Z86">
        <v>63</v>
      </c>
      <c r="AA86">
        <v>63</v>
      </c>
      <c r="AB86">
        <v>119.53</v>
      </c>
      <c r="AC86">
        <v>119.59141818179999</v>
      </c>
    </row>
    <row r="87" spans="1:33">
      <c r="A87" s="5">
        <v>45017</v>
      </c>
      <c r="B87" s="2">
        <v>119.893</v>
      </c>
      <c r="C87">
        <v>64</v>
      </c>
      <c r="D87">
        <f t="shared" si="0"/>
        <v>4.4464190819677833</v>
      </c>
      <c r="E87">
        <v>64</v>
      </c>
      <c r="F87">
        <v>64</v>
      </c>
      <c r="G87">
        <v>4.4464190820000002</v>
      </c>
      <c r="H87">
        <v>4.4464772802999999</v>
      </c>
      <c r="W87" s="5">
        <v>45017</v>
      </c>
      <c r="X87">
        <v>64</v>
      </c>
      <c r="Y87" s="2">
        <v>119.893</v>
      </c>
      <c r="Z87">
        <v>64</v>
      </c>
      <c r="AA87">
        <v>64</v>
      </c>
      <c r="AB87">
        <v>119.893</v>
      </c>
      <c r="AC87">
        <v>119.95918181819999</v>
      </c>
    </row>
    <row r="88" spans="1:33">
      <c r="A88" s="5">
        <v>45047</v>
      </c>
      <c r="B88" s="2">
        <v>120.02</v>
      </c>
      <c r="C88">
        <v>65</v>
      </c>
      <c r="D88">
        <f t="shared" si="0"/>
        <v>3.9620255357483138</v>
      </c>
      <c r="E88">
        <v>65</v>
      </c>
      <c r="F88">
        <v>65</v>
      </c>
      <c r="G88">
        <v>3.9620255360000001</v>
      </c>
      <c r="H88">
        <v>4.2090059498999999</v>
      </c>
      <c r="W88" s="6">
        <v>45047</v>
      </c>
      <c r="X88" s="8">
        <v>65</v>
      </c>
      <c r="Y88" s="3">
        <v>120.02</v>
      </c>
      <c r="Z88" s="4">
        <v>65</v>
      </c>
      <c r="AA88" s="4">
        <v>65</v>
      </c>
      <c r="AB88" s="4">
        <v>120.02</v>
      </c>
      <c r="AC88" s="4">
        <v>120.0231636364</v>
      </c>
      <c r="AE88">
        <f t="shared" ref="AE88:AE93" si="1">SLOPE($AB$88:$AB$93,$AA$88:$AA$93)*AA88+INTERCEPT($AB$88:$AB$93,$AA$88:$AA$93)</f>
        <v>119.95028571428571</v>
      </c>
      <c r="AG88">
        <f>SLOPE($AB$88:$AB$93,$AA$88:$AA$93)</f>
        <v>0.28608571428571361</v>
      </c>
    </row>
    <row r="89" spans="1:33">
      <c r="A89" s="5">
        <v>45078</v>
      </c>
      <c r="B89" s="2">
        <v>120.221</v>
      </c>
      <c r="C89">
        <v>66</v>
      </c>
      <c r="D89">
        <f t="shared" si="0"/>
        <v>3.1984205330700881</v>
      </c>
      <c r="E89">
        <v>66</v>
      </c>
      <c r="F89">
        <v>66</v>
      </c>
      <c r="G89">
        <v>3.1984205330000002</v>
      </c>
      <c r="H89">
        <v>3.9715346194999999</v>
      </c>
      <c r="W89" s="5">
        <v>45078</v>
      </c>
      <c r="X89">
        <v>66</v>
      </c>
      <c r="Y89" s="2">
        <v>120.221</v>
      </c>
      <c r="Z89">
        <v>66</v>
      </c>
      <c r="AA89">
        <v>66</v>
      </c>
      <c r="AB89">
        <v>120.221</v>
      </c>
      <c r="AC89">
        <v>120.2614606061</v>
      </c>
      <c r="AE89">
        <f t="shared" si="1"/>
        <v>120.23637142857142</v>
      </c>
    </row>
    <row r="90" spans="1:33">
      <c r="A90" s="5">
        <v>45108</v>
      </c>
      <c r="B90" s="2">
        <v>120.373</v>
      </c>
      <c r="C90">
        <v>67</v>
      </c>
      <c r="D90">
        <f t="shared" ref="D90:D97" si="2">100*(B90-B78)/B78</f>
        <v>3.3147084824608912</v>
      </c>
      <c r="E90">
        <v>67</v>
      </c>
      <c r="F90">
        <v>67</v>
      </c>
      <c r="G90">
        <v>3.3147084819999999</v>
      </c>
      <c r="H90">
        <v>3.7340632890999998</v>
      </c>
      <c r="W90" s="5">
        <v>45108</v>
      </c>
      <c r="X90" s="7">
        <v>67</v>
      </c>
      <c r="Y90" s="2">
        <v>120.373</v>
      </c>
      <c r="Z90">
        <v>67</v>
      </c>
      <c r="AA90">
        <v>67</v>
      </c>
      <c r="AB90">
        <v>120.373</v>
      </c>
      <c r="AC90">
        <v>120.4997575758</v>
      </c>
      <c r="AE90">
        <f t="shared" si="1"/>
        <v>120.52245714285714</v>
      </c>
    </row>
    <row r="91" spans="1:33">
      <c r="A91" s="5">
        <v>45139</v>
      </c>
      <c r="B91" s="2">
        <v>120.803</v>
      </c>
      <c r="C91">
        <v>68</v>
      </c>
      <c r="D91">
        <f t="shared" si="2"/>
        <v>3.3475917529301022</v>
      </c>
      <c r="E91">
        <v>68</v>
      </c>
      <c r="F91">
        <v>68</v>
      </c>
      <c r="G91">
        <v>3.3475917530000001</v>
      </c>
      <c r="H91">
        <v>3.4965919586999998</v>
      </c>
      <c r="W91" s="5">
        <v>45139</v>
      </c>
      <c r="X91">
        <v>68</v>
      </c>
      <c r="Y91" s="2">
        <v>120.803</v>
      </c>
      <c r="Z91">
        <v>68</v>
      </c>
      <c r="AA91">
        <v>68</v>
      </c>
      <c r="AB91">
        <v>120.803</v>
      </c>
      <c r="AC91">
        <v>120.73805454550001</v>
      </c>
      <c r="AE91">
        <f t="shared" si="1"/>
        <v>120.80854285714284</v>
      </c>
    </row>
    <row r="92" spans="1:33">
      <c r="A92" s="5">
        <v>45170</v>
      </c>
      <c r="B92" s="2">
        <v>121.267</v>
      </c>
      <c r="C92">
        <v>69</v>
      </c>
      <c r="D92">
        <f t="shared" si="2"/>
        <v>3.369589307329051</v>
      </c>
      <c r="E92">
        <v>69</v>
      </c>
      <c r="F92">
        <v>69</v>
      </c>
      <c r="G92">
        <v>3.369589307</v>
      </c>
      <c r="H92">
        <v>3.2591206282999998</v>
      </c>
      <c r="W92" s="5">
        <v>45170</v>
      </c>
      <c r="X92" s="7">
        <v>69</v>
      </c>
      <c r="Y92" s="2">
        <v>121.267</v>
      </c>
      <c r="Z92">
        <v>69</v>
      </c>
      <c r="AA92">
        <v>69</v>
      </c>
      <c r="AB92">
        <v>121.267</v>
      </c>
      <c r="AC92">
        <v>120.97635151519999</v>
      </c>
      <c r="AE92">
        <f t="shared" si="1"/>
        <v>121.09462857142856</v>
      </c>
    </row>
    <row r="93" spans="1:33">
      <c r="A93" s="5">
        <v>45200</v>
      </c>
      <c r="B93" s="2">
        <v>121.309</v>
      </c>
      <c r="C93">
        <v>70</v>
      </c>
      <c r="D93">
        <f t="shared" si="2"/>
        <v>2.9420749817552307</v>
      </c>
      <c r="E93">
        <v>70</v>
      </c>
      <c r="F93">
        <v>70</v>
      </c>
      <c r="G93">
        <v>2.9420749819999998</v>
      </c>
      <c r="H93">
        <v>3.0216492978999998</v>
      </c>
      <c r="W93" s="5">
        <v>45200</v>
      </c>
      <c r="X93">
        <v>70</v>
      </c>
      <c r="Y93" s="2">
        <v>121.309</v>
      </c>
      <c r="Z93">
        <v>70</v>
      </c>
      <c r="AA93">
        <v>70</v>
      </c>
      <c r="AB93">
        <v>121.309</v>
      </c>
      <c r="AC93">
        <v>121.21464848479999</v>
      </c>
      <c r="AD93" s="11">
        <f>RSQ($AB$88:AB93,$AA$88:AA93)</f>
        <v>0.95830385473874002</v>
      </c>
      <c r="AE93">
        <f t="shared" si="1"/>
        <v>121.38071428571428</v>
      </c>
    </row>
    <row r="94" spans="1:33">
      <c r="A94" s="5">
        <v>45231</v>
      </c>
      <c r="B94" s="2">
        <v>121.29600000000001</v>
      </c>
      <c r="C94">
        <v>71</v>
      </c>
      <c r="D94">
        <f t="shared" si="2"/>
        <v>2.7027027027027088</v>
      </c>
      <c r="E94">
        <v>71</v>
      </c>
      <c r="F94">
        <v>71</v>
      </c>
      <c r="G94">
        <v>2.7027027029999999</v>
      </c>
      <c r="H94">
        <v>2.7841779674999998</v>
      </c>
      <c r="W94" s="6">
        <v>45231</v>
      </c>
      <c r="X94" s="8">
        <v>71</v>
      </c>
      <c r="Y94" s="3">
        <v>121.29600000000001</v>
      </c>
      <c r="Z94" s="4">
        <v>71</v>
      </c>
      <c r="AA94" s="4">
        <v>71</v>
      </c>
      <c r="AB94" s="4">
        <v>121.29600000000001</v>
      </c>
      <c r="AC94" s="4">
        <v>121.4529454545</v>
      </c>
      <c r="AD94" s="12">
        <f>RSQ($AB$88:AB94,$AA$88:AA94)</f>
        <v>0.92591259857805419</v>
      </c>
      <c r="AE94">
        <f>SLOPE($AB$94:$AB$97,$AA$94:$AA$97)*AA94+INTERCEPT($AB$94:$AB$97,$AA$94:$AA$97)</f>
        <v>121.2146</v>
      </c>
    </row>
    <row r="95" spans="1:33">
      <c r="A95" s="5">
        <v>45261</v>
      </c>
      <c r="B95" s="2">
        <v>121.44799999999999</v>
      </c>
      <c r="C95">
        <v>72</v>
      </c>
      <c r="D95">
        <f t="shared" si="2"/>
        <v>2.6193936526176991</v>
      </c>
      <c r="E95">
        <v>72</v>
      </c>
      <c r="F95">
        <v>72</v>
      </c>
      <c r="G95">
        <v>2.6193936529999999</v>
      </c>
      <c r="H95">
        <v>2.5467066370999998</v>
      </c>
      <c r="W95" s="5">
        <v>45261</v>
      </c>
      <c r="X95">
        <v>72</v>
      </c>
      <c r="Y95" s="2">
        <v>121.44799999999999</v>
      </c>
      <c r="Z95">
        <v>72</v>
      </c>
      <c r="AA95">
        <v>72</v>
      </c>
      <c r="AB95">
        <v>121.44799999999999</v>
      </c>
      <c r="AC95">
        <v>121.6912424242</v>
      </c>
      <c r="AD95" s="11">
        <f>RSQ($AB$88:AB95,$AA$88:AA95)</f>
        <v>0.91748770928362278</v>
      </c>
      <c r="AE95">
        <f>SLOPE($AB$94:$AB$97,$AA$94:$AA$97)*AA95+INTERCEPT($AB$94:$AB$97,$AA$94:$AA$97)</f>
        <v>121.5652</v>
      </c>
    </row>
    <row r="96" spans="1:33">
      <c r="A96" s="5">
        <v>45292</v>
      </c>
      <c r="B96" s="2">
        <v>121.90600000000001</v>
      </c>
      <c r="C96">
        <v>73</v>
      </c>
      <c r="D96">
        <f t="shared" si="2"/>
        <v>2.4325482518422752</v>
      </c>
      <c r="E96">
        <v>73</v>
      </c>
      <c r="F96">
        <v>73</v>
      </c>
      <c r="G96">
        <v>2.4325482520000001</v>
      </c>
      <c r="H96">
        <v>2.3092353067000002</v>
      </c>
      <c r="W96" s="5">
        <v>45292</v>
      </c>
      <c r="X96" s="7">
        <v>73</v>
      </c>
      <c r="Y96" s="2">
        <v>121.90600000000001</v>
      </c>
      <c r="Z96">
        <v>73</v>
      </c>
      <c r="AA96">
        <v>73</v>
      </c>
      <c r="AB96">
        <v>121.90600000000001</v>
      </c>
      <c r="AC96">
        <v>121.9295393939</v>
      </c>
      <c r="AD96" s="11">
        <f>RSQ($AB$88:AB96,$AA$88:AA96)</f>
        <v>0.94213479798079025</v>
      </c>
      <c r="AE96">
        <f>SLOPE($AB$94:$AB$97,$AA$94:$AA$97)*AA96+INTERCEPT($AB$94:$AB$97,$AA$94:$AA$97)</f>
        <v>121.91579999999999</v>
      </c>
    </row>
    <row r="97" spans="1:33">
      <c r="A97" s="5">
        <v>45323</v>
      </c>
      <c r="B97" s="2">
        <v>122.312</v>
      </c>
      <c r="C97">
        <v>74</v>
      </c>
      <c r="D97">
        <f t="shared" si="2"/>
        <v>2.4508736367748329</v>
      </c>
      <c r="E97">
        <v>74</v>
      </c>
      <c r="F97">
        <v>74</v>
      </c>
      <c r="G97">
        <v>2.4508736369999999</v>
      </c>
      <c r="H97">
        <v>2.0717639763000002</v>
      </c>
      <c r="W97" s="5">
        <v>45323</v>
      </c>
      <c r="X97">
        <v>74</v>
      </c>
      <c r="Y97" s="2">
        <v>122.312</v>
      </c>
      <c r="Z97">
        <v>74</v>
      </c>
      <c r="AA97">
        <v>74</v>
      </c>
      <c r="AB97">
        <v>122.312</v>
      </c>
      <c r="AC97">
        <v>122.1678363636</v>
      </c>
      <c r="AD97" s="11">
        <f>RSQ($AB$88:AB97,$AA$88:AA97)</f>
        <v>0.95505888965163699</v>
      </c>
      <c r="AE97">
        <f>SLOPE($AB$94:$AB$97,$AA$94:$AA$97)*AA97+INTERCEPT($AB$94:$AB$97,$AA$94:$AA$97)</f>
        <v>122.2664</v>
      </c>
      <c r="AG97">
        <f>SLOPE($AB$94:$AB$97,$AA$94:$AA$97)</f>
        <v>0.35059999999999858</v>
      </c>
    </row>
  </sheetData>
  <phoneticPr fontId="2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6"/>
  <sheetViews>
    <sheetView topLeftCell="L84" workbookViewId="0">
      <selection activeCell="W4" sqref="W1:AY1048576"/>
    </sheetView>
  </sheetViews>
  <sheetFormatPr defaultRowHeight="13.2"/>
  <cols>
    <col min="1" max="1" width="13.5546875" customWidth="1"/>
    <col min="3" max="3" width="3.5546875" bestFit="1" customWidth="1"/>
    <col min="4" max="4" width="12.77734375" bestFit="1" customWidth="1"/>
    <col min="5" max="6" width="3.554687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8" spans="1:2">
      <c r="A8" t="s">
        <v>6</v>
      </c>
      <c r="B8" t="s">
        <v>7</v>
      </c>
    </row>
    <row r="10" spans="1:2">
      <c r="A10" t="s">
        <v>8</v>
      </c>
    </row>
    <row r="11" spans="1:2">
      <c r="A11" t="s">
        <v>9</v>
      </c>
      <c r="B11" t="s">
        <v>6</v>
      </c>
    </row>
    <row r="12" spans="1:2">
      <c r="A12" s="1">
        <v>42736</v>
      </c>
      <c r="B12" s="2">
        <v>99.450999999999993</v>
      </c>
    </row>
    <row r="13" spans="1:2">
      <c r="A13" s="1">
        <v>42767</v>
      </c>
      <c r="B13" s="2">
        <v>99.585999999999999</v>
      </c>
    </row>
    <row r="14" spans="1:2">
      <c r="A14" s="1">
        <v>42795</v>
      </c>
      <c r="B14" s="2">
        <v>99.534999999999997</v>
      </c>
    </row>
    <row r="15" spans="1:2">
      <c r="A15" s="1">
        <v>42826</v>
      </c>
      <c r="B15" s="2">
        <v>99.724999999999994</v>
      </c>
    </row>
    <row r="16" spans="1:2">
      <c r="A16" s="1">
        <v>42856</v>
      </c>
      <c r="B16" s="2">
        <v>99.682000000000002</v>
      </c>
    </row>
    <row r="17" spans="1:9">
      <c r="A17" s="1">
        <v>42887</v>
      </c>
      <c r="B17" s="2">
        <v>99.766000000000005</v>
      </c>
    </row>
    <row r="18" spans="1:9">
      <c r="A18" s="1">
        <v>42917</v>
      </c>
      <c r="B18" s="2">
        <v>99.802999999999997</v>
      </c>
    </row>
    <row r="19" spans="1:9">
      <c r="A19" s="1">
        <v>42948</v>
      </c>
      <c r="B19" s="2">
        <v>100.027</v>
      </c>
    </row>
    <row r="20" spans="1:9">
      <c r="A20" s="1">
        <v>42979</v>
      </c>
      <c r="B20" s="2">
        <v>100.4</v>
      </c>
    </row>
    <row r="21" spans="1:9">
      <c r="A21" s="1">
        <v>43009</v>
      </c>
      <c r="B21" s="2">
        <v>100.53100000000001</v>
      </c>
    </row>
    <row r="22" spans="1:9">
      <c r="A22" s="1">
        <v>43040</v>
      </c>
      <c r="B22" s="2">
        <v>100.675</v>
      </c>
    </row>
    <row r="23" spans="1:9" ht="13.8">
      <c r="A23" s="1">
        <v>43070</v>
      </c>
      <c r="B23" s="2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5">
        <v>43101</v>
      </c>
      <c r="B24" s="2">
        <v>101.199</v>
      </c>
      <c r="C24">
        <v>1</v>
      </c>
      <c r="D24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10</v>
      </c>
    </row>
    <row r="25" spans="1:9">
      <c r="A25" s="5">
        <v>43132</v>
      </c>
      <c r="B25" s="2">
        <v>101.416</v>
      </c>
      <c r="C25">
        <v>2</v>
      </c>
      <c r="D25">
        <f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62</v>
      </c>
    </row>
    <row r="26" spans="1:9">
      <c r="A26" s="5">
        <v>43160</v>
      </c>
      <c r="B26" s="2">
        <v>101.524</v>
      </c>
      <c r="C26">
        <v>3</v>
      </c>
      <c r="D26">
        <f>100*(B26-B14)/B14</f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5">
        <v>43191</v>
      </c>
      <c r="B27" s="2">
        <v>101.76600000000001</v>
      </c>
      <c r="C27">
        <v>4</v>
      </c>
      <c r="D27">
        <f t="shared" ref="D27:D90" si="0">100*(B27-B15)/B15</f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5">
        <v>43221</v>
      </c>
      <c r="B28" s="2">
        <v>101.941</v>
      </c>
      <c r="C28">
        <v>5</v>
      </c>
      <c r="D28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5">
        <v>43252</v>
      </c>
      <c r="B29" s="2">
        <v>102.029</v>
      </c>
      <c r="C29">
        <v>6</v>
      </c>
      <c r="D29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>
      <c r="A30" s="5">
        <v>43282</v>
      </c>
      <c r="B30" s="2">
        <v>102.137</v>
      </c>
      <c r="C30">
        <v>7</v>
      </c>
      <c r="D30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5">
        <v>43313</v>
      </c>
      <c r="B31" s="2">
        <v>102.208</v>
      </c>
      <c r="C31">
        <v>8</v>
      </c>
      <c r="D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5">
        <v>43344</v>
      </c>
      <c r="B32" s="2">
        <v>102.41800000000001</v>
      </c>
      <c r="C32">
        <v>9</v>
      </c>
      <c r="D32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5">
        <v>43374</v>
      </c>
      <c r="B33" s="2">
        <v>102.595</v>
      </c>
      <c r="C33">
        <v>10</v>
      </c>
      <c r="D33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5">
        <v>43405</v>
      </c>
      <c r="B34" s="2">
        <v>102.63</v>
      </c>
      <c r="C34">
        <v>11</v>
      </c>
      <c r="D34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5">
        <v>43435</v>
      </c>
      <c r="B35" s="2">
        <v>102.70099999999999</v>
      </c>
      <c r="C35">
        <v>12</v>
      </c>
      <c r="D35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5">
        <v>43466</v>
      </c>
      <c r="B36" s="2">
        <v>102.714</v>
      </c>
      <c r="C36">
        <v>13</v>
      </c>
      <c r="D36">
        <f t="shared" si="0"/>
        <v>1.4970503661103376</v>
      </c>
      <c r="E36">
        <v>13</v>
      </c>
      <c r="F36">
        <v>13</v>
      </c>
      <c r="G36">
        <v>1.4970503660000001</v>
      </c>
      <c r="H36">
        <v>1.5253491168</v>
      </c>
      <c r="I36" t="s">
        <v>21</v>
      </c>
    </row>
    <row r="37" spans="1:9">
      <c r="A37" s="5">
        <v>43497</v>
      </c>
      <c r="B37" s="2">
        <v>102.86199999999999</v>
      </c>
      <c r="C37">
        <v>14</v>
      </c>
      <c r="D37">
        <f t="shared" si="0"/>
        <v>1.4258105229943974</v>
      </c>
      <c r="E37">
        <v>14</v>
      </c>
      <c r="F37">
        <v>14</v>
      </c>
      <c r="G37">
        <v>1.425810523</v>
      </c>
      <c r="H37">
        <v>1.5058576435</v>
      </c>
      <c r="I37" t="s">
        <v>22</v>
      </c>
    </row>
    <row r="38" spans="1:9">
      <c r="A38" s="5">
        <v>43525</v>
      </c>
      <c r="B38" s="2">
        <v>103.056</v>
      </c>
      <c r="C38">
        <v>15</v>
      </c>
      <c r="D38">
        <f t="shared" si="0"/>
        <v>1.5090027973681066</v>
      </c>
      <c r="E38">
        <v>15</v>
      </c>
      <c r="F38">
        <v>15</v>
      </c>
      <c r="G38">
        <v>1.509002797</v>
      </c>
      <c r="H38">
        <v>1.4863661703</v>
      </c>
      <c r="I38" t="s">
        <v>23</v>
      </c>
    </row>
    <row r="39" spans="1:9">
      <c r="A39" s="5">
        <v>43556</v>
      </c>
      <c r="B39" s="2">
        <v>103.371</v>
      </c>
      <c r="C39">
        <v>16</v>
      </c>
      <c r="D39">
        <f t="shared" si="0"/>
        <v>1.5771475738458716</v>
      </c>
      <c r="E39">
        <v>16</v>
      </c>
      <c r="F39">
        <v>16</v>
      </c>
      <c r="G39">
        <v>1.5771475740000001</v>
      </c>
      <c r="H39">
        <v>1.4668746969999999</v>
      </c>
      <c r="I39" t="s">
        <v>24</v>
      </c>
    </row>
    <row r="40" spans="1:9">
      <c r="A40" s="5">
        <v>43586</v>
      </c>
      <c r="B40" s="2">
        <v>103.426</v>
      </c>
      <c r="C40">
        <v>17</v>
      </c>
      <c r="D40">
        <f t="shared" si="0"/>
        <v>1.4567249683640531</v>
      </c>
      <c r="E40">
        <v>17</v>
      </c>
      <c r="F40">
        <v>17</v>
      </c>
      <c r="G40">
        <v>1.4567249680000001</v>
      </c>
      <c r="H40">
        <v>1.4473832236999999</v>
      </c>
      <c r="I40" t="s">
        <v>25</v>
      </c>
    </row>
    <row r="41" spans="1:9">
      <c r="A41" s="5">
        <v>43617</v>
      </c>
      <c r="B41" s="2">
        <v>103.46899999999999</v>
      </c>
      <c r="C41">
        <v>18</v>
      </c>
      <c r="D41">
        <f t="shared" si="0"/>
        <v>1.4113634358858733</v>
      </c>
      <c r="E41">
        <v>18</v>
      </c>
      <c r="F41">
        <v>18</v>
      </c>
      <c r="G41">
        <v>1.411363436</v>
      </c>
      <c r="H41">
        <v>1.4278917504999999</v>
      </c>
      <c r="I41" t="s">
        <v>26</v>
      </c>
    </row>
    <row r="42" spans="1:9">
      <c r="A42" s="5">
        <v>43647</v>
      </c>
      <c r="B42" s="2">
        <v>103.608</v>
      </c>
      <c r="C42">
        <v>19</v>
      </c>
      <c r="D42">
        <f t="shared" si="0"/>
        <v>1.4402224463221003</v>
      </c>
      <c r="E42">
        <v>19</v>
      </c>
      <c r="F42">
        <v>19</v>
      </c>
      <c r="G42">
        <v>1.4402224459999999</v>
      </c>
      <c r="H42">
        <v>1.4084002771999999</v>
      </c>
      <c r="I42" t="s">
        <v>27</v>
      </c>
    </row>
    <row r="43" spans="1:9">
      <c r="A43" s="5">
        <v>43678</v>
      </c>
      <c r="B43" s="2">
        <v>103.661</v>
      </c>
      <c r="C43">
        <v>20</v>
      </c>
      <c r="D43">
        <f t="shared" si="0"/>
        <v>1.4216108328115244</v>
      </c>
      <c r="E43">
        <v>20</v>
      </c>
      <c r="F43">
        <v>20</v>
      </c>
      <c r="G43">
        <v>1.4216108329999999</v>
      </c>
      <c r="H43">
        <v>1.3889088038999999</v>
      </c>
      <c r="I43" t="s">
        <v>28</v>
      </c>
    </row>
    <row r="44" spans="1:9">
      <c r="A44" s="5">
        <v>43709</v>
      </c>
      <c r="B44" s="2">
        <v>103.754</v>
      </c>
      <c r="C44">
        <v>21</v>
      </c>
      <c r="D44">
        <f t="shared" si="0"/>
        <v>1.3044582007069054</v>
      </c>
      <c r="E44">
        <v>21</v>
      </c>
      <c r="F44">
        <v>21</v>
      </c>
      <c r="G44">
        <v>1.3044582010000001</v>
      </c>
      <c r="H44">
        <v>1.3694173305999999</v>
      </c>
      <c r="I44" t="s">
        <v>29</v>
      </c>
    </row>
    <row r="45" spans="1:9">
      <c r="A45" s="5">
        <v>43739</v>
      </c>
      <c r="B45" s="2">
        <v>103.961</v>
      </c>
      <c r="C45">
        <v>22</v>
      </c>
      <c r="D45">
        <f t="shared" si="0"/>
        <v>1.3314489010185679</v>
      </c>
      <c r="E45">
        <v>22</v>
      </c>
      <c r="F45">
        <v>22</v>
      </c>
      <c r="G45">
        <v>1.3314489009999999</v>
      </c>
      <c r="H45">
        <v>1.3499258573999999</v>
      </c>
      <c r="I45" t="s">
        <v>30</v>
      </c>
    </row>
    <row r="46" spans="1:9">
      <c r="A46" s="5">
        <v>43770</v>
      </c>
      <c r="B46" s="2">
        <v>103.997</v>
      </c>
      <c r="C46">
        <v>23</v>
      </c>
      <c r="D46">
        <f t="shared" si="0"/>
        <v>1.3319692097827189</v>
      </c>
      <c r="E46">
        <v>23</v>
      </c>
      <c r="F46">
        <v>23</v>
      </c>
      <c r="G46">
        <v>1.33196921</v>
      </c>
      <c r="H46">
        <v>1.3304343840999999</v>
      </c>
      <c r="I46" t="s">
        <v>31</v>
      </c>
    </row>
    <row r="47" spans="1:9">
      <c r="A47" s="5">
        <v>43800</v>
      </c>
      <c r="B47" s="2">
        <v>104.282</v>
      </c>
      <c r="C47">
        <v>24</v>
      </c>
      <c r="D47">
        <f t="shared" si="0"/>
        <v>1.5394202588095571</v>
      </c>
      <c r="E47">
        <v>24</v>
      </c>
      <c r="F47">
        <v>24</v>
      </c>
      <c r="G47">
        <v>1.5394202589999999</v>
      </c>
      <c r="H47">
        <v>1.8483446670999999</v>
      </c>
      <c r="I47" t="s">
        <v>32</v>
      </c>
    </row>
    <row r="48" spans="1:9">
      <c r="A48" s="5">
        <v>43831</v>
      </c>
      <c r="B48" s="2">
        <v>104.458</v>
      </c>
      <c r="C48">
        <v>25</v>
      </c>
      <c r="D48">
        <f t="shared" si="0"/>
        <v>1.6979184921237609</v>
      </c>
      <c r="E48">
        <v>25</v>
      </c>
      <c r="F48">
        <v>25</v>
      </c>
      <c r="G48">
        <v>1.6979184919999999</v>
      </c>
      <c r="H48">
        <v>1.5680777449000001</v>
      </c>
      <c r="I48" t="s">
        <v>33</v>
      </c>
    </row>
    <row r="49" spans="1:9">
      <c r="A49" s="5">
        <v>43862</v>
      </c>
      <c r="B49" s="2">
        <v>104.551</v>
      </c>
      <c r="C49">
        <v>26</v>
      </c>
      <c r="D49">
        <f t="shared" si="0"/>
        <v>1.6420057941708379</v>
      </c>
      <c r="E49">
        <v>26</v>
      </c>
      <c r="F49">
        <v>26</v>
      </c>
      <c r="G49">
        <v>1.6420057939999999</v>
      </c>
      <c r="H49">
        <v>1.2878108226</v>
      </c>
      <c r="I49" t="s">
        <v>34</v>
      </c>
    </row>
    <row r="50" spans="1:9">
      <c r="A50" s="5">
        <v>43891</v>
      </c>
      <c r="B50" s="2">
        <v>104.238</v>
      </c>
      <c r="C50">
        <v>27</v>
      </c>
      <c r="D50">
        <f t="shared" si="0"/>
        <v>1.1469492314857963</v>
      </c>
      <c r="E50">
        <v>27</v>
      </c>
      <c r="F50">
        <v>27</v>
      </c>
      <c r="G50">
        <v>1.146949231</v>
      </c>
      <c r="H50">
        <v>1.0075439004</v>
      </c>
      <c r="I50" t="s">
        <v>35</v>
      </c>
    </row>
    <row r="51" spans="1:9">
      <c r="A51" s="5">
        <v>43922</v>
      </c>
      <c r="B51" s="2">
        <v>103.79600000000001</v>
      </c>
      <c r="C51">
        <v>28</v>
      </c>
      <c r="D51">
        <f t="shared" si="0"/>
        <v>0.41114045525341864</v>
      </c>
      <c r="E51">
        <v>28</v>
      </c>
      <c r="F51">
        <v>28</v>
      </c>
      <c r="G51">
        <v>0.41114045500000002</v>
      </c>
      <c r="H51">
        <v>0.72727697810000003</v>
      </c>
      <c r="I51" t="s">
        <v>36</v>
      </c>
    </row>
    <row r="52" spans="1:9">
      <c r="A52" s="5">
        <v>43952</v>
      </c>
      <c r="B52" s="2">
        <v>103.89</v>
      </c>
      <c r="C52">
        <v>29</v>
      </c>
      <c r="D52">
        <f t="shared" si="0"/>
        <v>0.44862993831338216</v>
      </c>
      <c r="E52">
        <v>29</v>
      </c>
      <c r="F52">
        <v>29</v>
      </c>
      <c r="G52">
        <v>0.44862993800000001</v>
      </c>
      <c r="H52">
        <v>0.44701005589999998</v>
      </c>
      <c r="I52" t="s">
        <v>37</v>
      </c>
    </row>
    <row r="53" spans="1:9">
      <c r="A53" s="5">
        <v>43983</v>
      </c>
      <c r="B53" s="2">
        <v>104.199</v>
      </c>
      <c r="C53">
        <v>30</v>
      </c>
      <c r="D53">
        <f t="shared" si="0"/>
        <v>0.70552532642627652</v>
      </c>
      <c r="E53">
        <v>30</v>
      </c>
      <c r="F53">
        <v>30</v>
      </c>
      <c r="G53">
        <v>0.70552532599999995</v>
      </c>
      <c r="H53">
        <v>0.79284869540000003</v>
      </c>
      <c r="I53" t="s">
        <v>38</v>
      </c>
    </row>
    <row r="54" spans="1:9">
      <c r="A54" s="5">
        <v>44013</v>
      </c>
      <c r="B54" s="2">
        <v>104.541</v>
      </c>
      <c r="C54">
        <v>31</v>
      </c>
      <c r="D54">
        <f t="shared" si="0"/>
        <v>0.90050961315727807</v>
      </c>
      <c r="E54">
        <v>31</v>
      </c>
      <c r="F54">
        <v>31</v>
      </c>
      <c r="G54">
        <v>0.90050961299999999</v>
      </c>
      <c r="H54">
        <v>0.91014849990000002</v>
      </c>
      <c r="I54" t="s">
        <v>39</v>
      </c>
    </row>
    <row r="55" spans="1:9">
      <c r="A55" s="5">
        <v>44044</v>
      </c>
      <c r="B55" s="2">
        <v>104.869</v>
      </c>
      <c r="C55">
        <v>32</v>
      </c>
      <c r="D55">
        <f t="shared" si="0"/>
        <v>1.1653370119910076</v>
      </c>
      <c r="E55">
        <v>32</v>
      </c>
      <c r="F55">
        <v>32</v>
      </c>
      <c r="G55">
        <v>1.1653370119999999</v>
      </c>
      <c r="H55">
        <v>1.0274483044</v>
      </c>
      <c r="I55" t="s">
        <v>40</v>
      </c>
    </row>
    <row r="56" spans="1:9">
      <c r="A56" s="5">
        <v>44075</v>
      </c>
      <c r="B56" s="2">
        <v>105.048</v>
      </c>
      <c r="C56">
        <v>33</v>
      </c>
      <c r="D56">
        <f t="shared" si="0"/>
        <v>1.2471808315823938</v>
      </c>
      <c r="E56">
        <v>33</v>
      </c>
      <c r="F56">
        <v>33</v>
      </c>
      <c r="G56">
        <v>1.247180832</v>
      </c>
      <c r="H56">
        <v>1.1447481089</v>
      </c>
      <c r="I56" t="s">
        <v>41</v>
      </c>
    </row>
    <row r="57" spans="1:9">
      <c r="A57" s="5">
        <v>44105</v>
      </c>
      <c r="B57" s="2">
        <v>105.124</v>
      </c>
      <c r="C57">
        <v>34</v>
      </c>
      <c r="D57">
        <f t="shared" si="0"/>
        <v>1.11868873904637</v>
      </c>
      <c r="E57">
        <v>34</v>
      </c>
      <c r="F57">
        <v>34</v>
      </c>
      <c r="G57">
        <v>1.118688739</v>
      </c>
      <c r="H57">
        <v>1.2620479134</v>
      </c>
      <c r="I57" t="s">
        <v>42</v>
      </c>
    </row>
    <row r="58" spans="1:9">
      <c r="A58" s="5">
        <v>44136</v>
      </c>
      <c r="B58" s="2">
        <v>105.197</v>
      </c>
      <c r="C58">
        <v>35</v>
      </c>
      <c r="D58">
        <f t="shared" si="0"/>
        <v>1.1538794388299689</v>
      </c>
      <c r="E58">
        <v>35</v>
      </c>
      <c r="F58">
        <v>35</v>
      </c>
      <c r="G58">
        <v>1.153879439</v>
      </c>
      <c r="H58">
        <v>1.0193186811999999</v>
      </c>
      <c r="I58" t="s">
        <v>43</v>
      </c>
    </row>
    <row r="59" spans="1:9">
      <c r="A59" s="5">
        <v>44166</v>
      </c>
      <c r="B59" s="2">
        <v>105.70699999999999</v>
      </c>
      <c r="C59">
        <v>36</v>
      </c>
      <c r="D59">
        <f t="shared" si="0"/>
        <v>1.3664870255652914</v>
      </c>
      <c r="E59">
        <v>36</v>
      </c>
      <c r="F59">
        <v>36</v>
      </c>
      <c r="G59">
        <v>1.3664870259999999</v>
      </c>
      <c r="H59">
        <v>1.3830189502000001</v>
      </c>
      <c r="I59" t="s">
        <v>44</v>
      </c>
    </row>
    <row r="60" spans="1:9">
      <c r="A60" s="5">
        <v>44197</v>
      </c>
      <c r="B60" s="2">
        <v>106.145</v>
      </c>
      <c r="C60">
        <v>37</v>
      </c>
      <c r="D60">
        <f t="shared" si="0"/>
        <v>1.6150031591644467</v>
      </c>
      <c r="E60">
        <v>37</v>
      </c>
      <c r="F60">
        <v>37</v>
      </c>
      <c r="G60">
        <v>1.615003159</v>
      </c>
      <c r="H60">
        <v>1.7467192192000001</v>
      </c>
      <c r="I60" t="s">
        <v>45</v>
      </c>
    </row>
    <row r="61" spans="1:9">
      <c r="A61" s="5">
        <v>44228</v>
      </c>
      <c r="B61" s="2">
        <v>106.52200000000001</v>
      </c>
      <c r="C61">
        <v>38</v>
      </c>
      <c r="D61">
        <f t="shared" si="0"/>
        <v>1.8852043500301323</v>
      </c>
      <c r="E61">
        <v>38</v>
      </c>
      <c r="F61">
        <v>38</v>
      </c>
      <c r="G61">
        <v>1.88520435</v>
      </c>
      <c r="H61">
        <v>2.1104194881999998</v>
      </c>
      <c r="I61" t="s">
        <v>46</v>
      </c>
    </row>
    <row r="62" spans="1:9">
      <c r="A62" s="5">
        <v>44256</v>
      </c>
      <c r="B62" s="2">
        <v>107.066</v>
      </c>
      <c r="C62">
        <v>39</v>
      </c>
      <c r="D62">
        <f t="shared" si="0"/>
        <v>2.7130221224505489</v>
      </c>
      <c r="E62">
        <v>39</v>
      </c>
      <c r="F62">
        <v>39</v>
      </c>
      <c r="G62">
        <v>2.7130221219999999</v>
      </c>
      <c r="H62">
        <v>2.4741197572</v>
      </c>
      <c r="I62" t="s">
        <v>47</v>
      </c>
    </row>
    <row r="63" spans="1:9">
      <c r="A63" s="5">
        <v>44287</v>
      </c>
      <c r="B63" s="2">
        <v>107.66200000000001</v>
      </c>
      <c r="C63">
        <v>40</v>
      </c>
      <c r="D63">
        <f t="shared" si="0"/>
        <v>3.7246136652664839</v>
      </c>
      <c r="E63">
        <v>40</v>
      </c>
      <c r="F63">
        <v>40</v>
      </c>
      <c r="G63">
        <v>3.7246136650000001</v>
      </c>
      <c r="H63">
        <v>3.8702564268000001</v>
      </c>
      <c r="I63" t="s">
        <v>48</v>
      </c>
    </row>
    <row r="64" spans="1:9">
      <c r="A64" s="5">
        <v>44317</v>
      </c>
      <c r="B64" s="2">
        <v>108.20699999999999</v>
      </c>
      <c r="C64">
        <v>41</v>
      </c>
      <c r="D64">
        <f t="shared" si="0"/>
        <v>4.1553566272018418</v>
      </c>
      <c r="E64">
        <v>41</v>
      </c>
      <c r="F64">
        <v>41</v>
      </c>
      <c r="G64">
        <v>4.1553566269999997</v>
      </c>
      <c r="H64">
        <v>4.0712063672000003</v>
      </c>
      <c r="I64" t="s">
        <v>49</v>
      </c>
    </row>
    <row r="65" spans="1:9">
      <c r="A65" s="5">
        <v>44348</v>
      </c>
      <c r="B65" s="2">
        <v>108.755</v>
      </c>
      <c r="C65">
        <v>42</v>
      </c>
      <c r="D65">
        <f t="shared" si="0"/>
        <v>4.3724028061689628</v>
      </c>
      <c r="E65">
        <v>42</v>
      </c>
      <c r="F65">
        <v>42</v>
      </c>
      <c r="G65">
        <v>4.3724028060000002</v>
      </c>
      <c r="H65">
        <v>4.2721563076000004</v>
      </c>
      <c r="I65" t="s">
        <v>50</v>
      </c>
    </row>
    <row r="66" spans="1:9">
      <c r="A66" s="5">
        <v>44378</v>
      </c>
      <c r="B66" s="2">
        <v>109.28</v>
      </c>
      <c r="C66">
        <v>43</v>
      </c>
      <c r="D66">
        <f t="shared" si="0"/>
        <v>4.5331496733339112</v>
      </c>
      <c r="E66">
        <v>43</v>
      </c>
      <c r="F66">
        <v>43</v>
      </c>
      <c r="G66">
        <v>4.5331496729999996</v>
      </c>
      <c r="H66">
        <v>4.4731062479999997</v>
      </c>
      <c r="I66" t="s">
        <v>51</v>
      </c>
    </row>
    <row r="67" spans="1:9">
      <c r="A67" s="5">
        <v>44409</v>
      </c>
      <c r="B67" s="2">
        <v>109.74</v>
      </c>
      <c r="C67">
        <v>44</v>
      </c>
      <c r="D67">
        <f t="shared" si="0"/>
        <v>4.6448426131649914</v>
      </c>
      <c r="E67">
        <v>44</v>
      </c>
      <c r="F67">
        <v>44</v>
      </c>
      <c r="G67">
        <v>4.6448426129999998</v>
      </c>
      <c r="H67">
        <v>4.6740561884999998</v>
      </c>
      <c r="I67" t="s">
        <v>52</v>
      </c>
    </row>
    <row r="68" spans="1:9">
      <c r="A68" s="5">
        <v>44440</v>
      </c>
      <c r="B68" s="2">
        <v>110.096</v>
      </c>
      <c r="C68">
        <v>45</v>
      </c>
      <c r="D68">
        <f t="shared" si="0"/>
        <v>4.8054222831467532</v>
      </c>
      <c r="E68">
        <v>45</v>
      </c>
      <c r="F68">
        <v>45</v>
      </c>
      <c r="G68">
        <v>4.8054222830000004</v>
      </c>
      <c r="H68">
        <v>4.8750061289</v>
      </c>
      <c r="I68" t="s">
        <v>53</v>
      </c>
    </row>
    <row r="69" spans="1:9">
      <c r="A69" s="5">
        <v>44470</v>
      </c>
      <c r="B69" s="2">
        <v>110.80800000000001</v>
      </c>
      <c r="C69">
        <v>46</v>
      </c>
      <c r="D69">
        <f t="shared" si="0"/>
        <v>5.4069479852364948</v>
      </c>
      <c r="E69">
        <v>46</v>
      </c>
      <c r="F69">
        <v>46</v>
      </c>
      <c r="G69">
        <v>5.4069479850000004</v>
      </c>
      <c r="H69">
        <v>5.5590709274999996</v>
      </c>
      <c r="I69" t="s">
        <v>54</v>
      </c>
    </row>
    <row r="70" spans="1:9">
      <c r="A70" s="5">
        <v>44501</v>
      </c>
      <c r="B70" s="2">
        <v>111.494</v>
      </c>
      <c r="C70">
        <v>47</v>
      </c>
      <c r="D70">
        <f t="shared" si="0"/>
        <v>5.9859121457836224</v>
      </c>
      <c r="E70">
        <v>47</v>
      </c>
      <c r="F70">
        <v>47</v>
      </c>
      <c r="G70">
        <v>5.9859121460000004</v>
      </c>
      <c r="H70">
        <v>5.8227856459999998</v>
      </c>
      <c r="I70" t="s">
        <v>55</v>
      </c>
    </row>
    <row r="71" spans="1:9">
      <c r="A71" s="5">
        <v>44531</v>
      </c>
      <c r="B71" s="2">
        <v>112.24</v>
      </c>
      <c r="C71">
        <v>48</v>
      </c>
      <c r="D71">
        <f t="shared" si="0"/>
        <v>6.1802908038256712</v>
      </c>
      <c r="E71">
        <v>48</v>
      </c>
      <c r="F71">
        <v>48</v>
      </c>
      <c r="G71">
        <v>6.1802908040000002</v>
      </c>
      <c r="H71">
        <v>6.0865003644</v>
      </c>
      <c r="I71" t="s">
        <v>56</v>
      </c>
    </row>
    <row r="72" spans="1:9">
      <c r="A72" s="5">
        <v>44562</v>
      </c>
      <c r="B72" s="2">
        <v>112.82899999999999</v>
      </c>
      <c r="C72">
        <v>49</v>
      </c>
      <c r="D72">
        <f t="shared" si="0"/>
        <v>6.2970464930048493</v>
      </c>
      <c r="E72">
        <v>49</v>
      </c>
      <c r="F72">
        <v>49</v>
      </c>
      <c r="G72">
        <v>6.2970464929999999</v>
      </c>
      <c r="H72">
        <v>6.3502150829000001</v>
      </c>
      <c r="I72" t="s">
        <v>63</v>
      </c>
    </row>
    <row r="73" spans="1:9">
      <c r="A73" s="5">
        <v>44593</v>
      </c>
      <c r="B73" s="2">
        <v>113.496</v>
      </c>
      <c r="C73">
        <v>50</v>
      </c>
      <c r="D73">
        <f t="shared" si="0"/>
        <v>6.5470043746831541</v>
      </c>
      <c r="E73">
        <v>50</v>
      </c>
      <c r="F73">
        <v>50</v>
      </c>
      <c r="G73">
        <v>6.5470043750000002</v>
      </c>
      <c r="H73">
        <v>6.6139298014000003</v>
      </c>
      <c r="I73" t="s">
        <v>64</v>
      </c>
    </row>
    <row r="74" spans="1:9">
      <c r="A74" s="5">
        <v>44621</v>
      </c>
      <c r="B74" s="2">
        <v>114.446</v>
      </c>
      <c r="C74">
        <v>51</v>
      </c>
      <c r="D74">
        <f t="shared" si="0"/>
        <v>6.8929445388825537</v>
      </c>
      <c r="E74">
        <v>51</v>
      </c>
      <c r="F74">
        <v>51</v>
      </c>
      <c r="G74">
        <v>6.8929445390000001</v>
      </c>
      <c r="H74">
        <v>6.8776445197999996</v>
      </c>
      <c r="I74" t="s">
        <v>65</v>
      </c>
    </row>
    <row r="75" spans="1:9">
      <c r="A75" s="5">
        <v>44652</v>
      </c>
      <c r="B75" s="2">
        <v>114.789</v>
      </c>
      <c r="C75">
        <v>52</v>
      </c>
      <c r="D75">
        <f t="shared" si="0"/>
        <v>6.619791569913243</v>
      </c>
      <c r="E75">
        <v>52</v>
      </c>
      <c r="F75">
        <v>52</v>
      </c>
      <c r="G75">
        <v>6.6197915700000003</v>
      </c>
      <c r="H75">
        <v>7.3319343367999998</v>
      </c>
      <c r="I75" t="s">
        <v>66</v>
      </c>
    </row>
    <row r="76" spans="1:9">
      <c r="A76" s="5">
        <v>44682</v>
      </c>
      <c r="B76" s="2">
        <v>115.446</v>
      </c>
      <c r="C76">
        <v>53</v>
      </c>
      <c r="D76">
        <f t="shared" si="0"/>
        <v>6.6899553633313973</v>
      </c>
      <c r="E76">
        <v>53</v>
      </c>
      <c r="F76">
        <v>53</v>
      </c>
      <c r="G76">
        <v>6.6899553630000002</v>
      </c>
      <c r="H76">
        <v>7.0893692906999997</v>
      </c>
      <c r="I76" t="s">
        <v>67</v>
      </c>
    </row>
    <row r="77" spans="1:9">
      <c r="A77" s="5">
        <v>44713</v>
      </c>
      <c r="B77" s="2">
        <v>116.495</v>
      </c>
      <c r="C77">
        <v>54</v>
      </c>
      <c r="D77">
        <f t="shared" si="0"/>
        <v>7.1169141648659915</v>
      </c>
      <c r="E77">
        <v>54</v>
      </c>
      <c r="F77">
        <v>54</v>
      </c>
      <c r="G77">
        <v>7.1169141649999998</v>
      </c>
      <c r="H77">
        <v>6.8468042446000004</v>
      </c>
    </row>
    <row r="78" spans="1:9">
      <c r="A78" s="5">
        <v>44743</v>
      </c>
      <c r="B78" s="2">
        <v>116.511</v>
      </c>
      <c r="C78">
        <v>55</v>
      </c>
      <c r="D78">
        <f t="shared" si="0"/>
        <v>6.616947291361635</v>
      </c>
      <c r="E78">
        <v>55</v>
      </c>
      <c r="F78">
        <v>55</v>
      </c>
      <c r="G78">
        <v>6.6169472909999998</v>
      </c>
      <c r="H78">
        <v>6.6042391986000002</v>
      </c>
    </row>
    <row r="79" spans="1:9">
      <c r="A79" s="5">
        <v>44774</v>
      </c>
      <c r="B79" s="2">
        <v>116.89</v>
      </c>
      <c r="C79">
        <v>56</v>
      </c>
      <c r="D79">
        <f t="shared" si="0"/>
        <v>6.5154000364497957</v>
      </c>
      <c r="E79">
        <v>56</v>
      </c>
      <c r="F79">
        <v>56</v>
      </c>
      <c r="G79">
        <v>6.515400036</v>
      </c>
      <c r="H79">
        <v>6.3616741525</v>
      </c>
    </row>
    <row r="80" spans="1:9">
      <c r="A80" s="5">
        <v>44805</v>
      </c>
      <c r="B80" s="2">
        <v>117.31399999999999</v>
      </c>
      <c r="C80">
        <v>57</v>
      </c>
      <c r="D80">
        <f t="shared" si="0"/>
        <v>6.5560964976020832</v>
      </c>
      <c r="E80">
        <v>57</v>
      </c>
      <c r="F80">
        <v>57</v>
      </c>
      <c r="G80">
        <v>6.5560964979999996</v>
      </c>
      <c r="H80">
        <v>6.1191091063999998</v>
      </c>
    </row>
    <row r="81" spans="1:8">
      <c r="A81" s="5">
        <v>44835</v>
      </c>
      <c r="B81" s="2">
        <v>117.842</v>
      </c>
      <c r="C81">
        <v>58</v>
      </c>
      <c r="D81">
        <f t="shared" si="0"/>
        <v>6.3479171178976168</v>
      </c>
      <c r="E81">
        <v>58</v>
      </c>
      <c r="F81">
        <v>58</v>
      </c>
      <c r="G81">
        <v>6.3479171179999998</v>
      </c>
      <c r="H81">
        <v>5.8765440602999996</v>
      </c>
    </row>
    <row r="82" spans="1:8">
      <c r="A82" s="5">
        <v>44866</v>
      </c>
      <c r="B82" s="2">
        <v>118.104</v>
      </c>
      <c r="C82">
        <v>59</v>
      </c>
      <c r="D82">
        <f t="shared" si="0"/>
        <v>5.9285701472724988</v>
      </c>
      <c r="E82">
        <v>59</v>
      </c>
      <c r="F82">
        <v>59</v>
      </c>
      <c r="G82">
        <v>5.9285701470000003</v>
      </c>
      <c r="H82">
        <v>5.6339790143000004</v>
      </c>
    </row>
    <row r="83" spans="1:8">
      <c r="A83" s="5">
        <v>44896</v>
      </c>
      <c r="B83" s="2">
        <v>118.348</v>
      </c>
      <c r="C83">
        <v>60</v>
      </c>
      <c r="D83">
        <f t="shared" si="0"/>
        <v>5.441910192444765</v>
      </c>
      <c r="E83">
        <v>60</v>
      </c>
      <c r="F83">
        <v>60</v>
      </c>
      <c r="G83">
        <v>5.4419101919999999</v>
      </c>
      <c r="H83">
        <v>5.3914139682000002</v>
      </c>
    </row>
    <row r="84" spans="1:8">
      <c r="A84" s="5">
        <v>44927</v>
      </c>
      <c r="B84" s="2">
        <v>119.011</v>
      </c>
      <c r="C84">
        <v>61</v>
      </c>
      <c r="D84">
        <f t="shared" si="0"/>
        <v>5.4790878231660329</v>
      </c>
      <c r="E84">
        <v>61</v>
      </c>
      <c r="F84">
        <v>61</v>
      </c>
      <c r="G84">
        <v>5.4790878230000004</v>
      </c>
      <c r="H84">
        <v>5.1488489221</v>
      </c>
    </row>
    <row r="85" spans="1:8">
      <c r="A85" s="5">
        <v>44958</v>
      </c>
      <c r="B85" s="2">
        <v>119.386</v>
      </c>
      <c r="C85">
        <v>62</v>
      </c>
      <c r="D85">
        <f t="shared" si="0"/>
        <v>5.1896102065271021</v>
      </c>
      <c r="E85">
        <v>62</v>
      </c>
      <c r="F85">
        <v>62</v>
      </c>
      <c r="G85">
        <v>5.1896102070000003</v>
      </c>
      <c r="H85">
        <v>4.9062838759999998</v>
      </c>
    </row>
    <row r="86" spans="1:8">
      <c r="A86" s="5">
        <v>44986</v>
      </c>
      <c r="B86" s="2">
        <v>119.53</v>
      </c>
      <c r="C86">
        <v>63</v>
      </c>
      <c r="D86">
        <f t="shared" si="0"/>
        <v>4.4422697167222998</v>
      </c>
      <c r="E86">
        <v>63</v>
      </c>
      <c r="F86">
        <v>63</v>
      </c>
      <c r="G86">
        <v>4.4422697170000003</v>
      </c>
      <c r="H86">
        <v>4.6637188299999996</v>
      </c>
    </row>
    <row r="87" spans="1:8">
      <c r="A87" s="5">
        <v>45017</v>
      </c>
      <c r="B87" s="2">
        <v>119.893</v>
      </c>
      <c r="C87">
        <v>64</v>
      </c>
      <c r="D87">
        <f t="shared" si="0"/>
        <v>4.4464190819677833</v>
      </c>
      <c r="E87">
        <v>64</v>
      </c>
      <c r="F87">
        <v>64</v>
      </c>
      <c r="G87">
        <v>4.4464190820000002</v>
      </c>
      <c r="H87">
        <v>4.4211537839000004</v>
      </c>
    </row>
    <row r="88" spans="1:8">
      <c r="A88" s="5">
        <v>45047</v>
      </c>
      <c r="B88" s="2">
        <v>120.02</v>
      </c>
      <c r="C88">
        <v>65</v>
      </c>
      <c r="D88">
        <f t="shared" si="0"/>
        <v>3.9620255357483138</v>
      </c>
      <c r="E88">
        <v>65</v>
      </c>
      <c r="F88">
        <v>65</v>
      </c>
      <c r="G88">
        <v>3.9620255360000001</v>
      </c>
      <c r="H88">
        <v>4.1785887378000002</v>
      </c>
    </row>
    <row r="89" spans="1:8">
      <c r="A89" s="5">
        <v>45078</v>
      </c>
      <c r="B89" s="2">
        <v>120.221</v>
      </c>
      <c r="C89">
        <v>66</v>
      </c>
      <c r="D89">
        <f t="shared" si="0"/>
        <v>3.1984205330700881</v>
      </c>
      <c r="E89">
        <v>66</v>
      </c>
      <c r="F89">
        <v>66</v>
      </c>
      <c r="G89">
        <v>3.1984205330000002</v>
      </c>
      <c r="H89">
        <v>3.9360236917</v>
      </c>
    </row>
    <row r="90" spans="1:8">
      <c r="A90" s="5">
        <v>45108</v>
      </c>
      <c r="B90" s="2">
        <v>120.373</v>
      </c>
      <c r="C90">
        <v>67</v>
      </c>
      <c r="D90">
        <f t="shared" si="0"/>
        <v>3.3147084824608912</v>
      </c>
      <c r="E90">
        <v>67</v>
      </c>
      <c r="F90">
        <v>67</v>
      </c>
      <c r="G90">
        <v>3.3147084819999999</v>
      </c>
      <c r="H90">
        <v>3.6934586456999998</v>
      </c>
    </row>
    <row r="91" spans="1:8">
      <c r="A91" s="5">
        <v>45139</v>
      </c>
      <c r="B91" s="2">
        <v>120.803</v>
      </c>
      <c r="C91">
        <v>68</v>
      </c>
      <c r="D91">
        <f t="shared" ref="D91:D96" si="1">100*(B91-B79)/B79</f>
        <v>3.3475917529301022</v>
      </c>
      <c r="E91">
        <v>68</v>
      </c>
      <c r="F91">
        <v>68</v>
      </c>
      <c r="G91">
        <v>3.3475917530000001</v>
      </c>
      <c r="H91">
        <v>3.4508935996000001</v>
      </c>
    </row>
    <row r="92" spans="1:8">
      <c r="A92" s="5">
        <v>45170</v>
      </c>
      <c r="B92" s="2">
        <v>121.267</v>
      </c>
      <c r="C92">
        <v>69</v>
      </c>
      <c r="D92">
        <f t="shared" si="1"/>
        <v>3.369589307329051</v>
      </c>
      <c r="E92">
        <v>69</v>
      </c>
      <c r="F92">
        <v>69</v>
      </c>
      <c r="G92">
        <v>3.369589307</v>
      </c>
      <c r="H92">
        <v>3.2083285534999999</v>
      </c>
    </row>
    <row r="93" spans="1:8">
      <c r="A93" s="5">
        <v>45200</v>
      </c>
      <c r="B93" s="2">
        <v>121.319</v>
      </c>
      <c r="C93">
        <v>70</v>
      </c>
      <c r="D93">
        <f t="shared" si="1"/>
        <v>2.9505609205546444</v>
      </c>
      <c r="E93">
        <v>70</v>
      </c>
      <c r="F93">
        <v>70</v>
      </c>
      <c r="G93">
        <v>2.9505609210000001</v>
      </c>
      <c r="H93">
        <v>2.9657635074000002</v>
      </c>
    </row>
    <row r="94" spans="1:8">
      <c r="A94" s="5">
        <v>45231</v>
      </c>
      <c r="B94" s="2">
        <v>121.307</v>
      </c>
      <c r="C94">
        <v>71</v>
      </c>
      <c r="D94">
        <f t="shared" si="1"/>
        <v>2.712016527806004</v>
      </c>
      <c r="E94">
        <v>71</v>
      </c>
      <c r="F94">
        <v>71</v>
      </c>
      <c r="G94">
        <v>2.7120165279999999</v>
      </c>
      <c r="H94">
        <v>2.7231984614</v>
      </c>
    </row>
    <row r="95" spans="1:8">
      <c r="A95" s="5">
        <v>45261</v>
      </c>
      <c r="B95" s="2">
        <v>121.45099999999999</v>
      </c>
      <c r="C95">
        <v>72</v>
      </c>
      <c r="D95">
        <f t="shared" si="1"/>
        <v>2.6219285497008773</v>
      </c>
      <c r="E95">
        <v>72</v>
      </c>
      <c r="F95">
        <v>72</v>
      </c>
      <c r="G95">
        <v>2.6219285499999998</v>
      </c>
      <c r="H95">
        <v>2.4806334152999998</v>
      </c>
    </row>
    <row r="96" spans="1:8">
      <c r="A96" s="5">
        <v>45292</v>
      </c>
      <c r="B96" s="2">
        <v>121.87</v>
      </c>
      <c r="C96">
        <v>73</v>
      </c>
      <c r="D96">
        <f t="shared" si="1"/>
        <v>2.4022989471561527</v>
      </c>
      <c r="E96">
        <v>73</v>
      </c>
      <c r="F96">
        <v>73</v>
      </c>
      <c r="G96">
        <v>2.4022989469999998</v>
      </c>
      <c r="H96">
        <v>2.2380683692000001</v>
      </c>
    </row>
  </sheetData>
  <phoneticPr fontId="2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opLeftCell="A60" workbookViewId="0">
      <selection activeCell="C23" sqref="C23:H23"/>
    </sheetView>
  </sheetViews>
  <sheetFormatPr defaultColWidth="20.6640625" defaultRowHeight="13.2"/>
  <cols>
    <col min="1" max="2" width="20.6640625" customWidth="1"/>
    <col min="3" max="3" width="3.5546875" bestFit="1" customWidth="1"/>
    <col min="4" max="4" width="12.77734375" bestFit="1" customWidth="1"/>
    <col min="5" max="6" width="3.5546875" bestFit="1" customWidth="1"/>
    <col min="7" max="8" width="12.7773437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8" spans="1:2">
      <c r="A8" t="s">
        <v>6</v>
      </c>
      <c r="B8" t="s">
        <v>7</v>
      </c>
    </row>
    <row r="10" spans="1:2">
      <c r="A10" t="s">
        <v>8</v>
      </c>
    </row>
    <row r="11" spans="1:2">
      <c r="A11" t="s">
        <v>9</v>
      </c>
      <c r="B11" t="s">
        <v>6</v>
      </c>
    </row>
    <row r="12" spans="1:2">
      <c r="A12" s="1">
        <v>42736</v>
      </c>
      <c r="B12" s="2">
        <v>99.450999999999993</v>
      </c>
    </row>
    <row r="13" spans="1:2">
      <c r="A13" s="1">
        <v>42767</v>
      </c>
      <c r="B13" s="2">
        <v>99.585999999999999</v>
      </c>
    </row>
    <row r="14" spans="1:2">
      <c r="A14" s="1">
        <v>42795</v>
      </c>
      <c r="B14" s="2">
        <v>99.534999999999997</v>
      </c>
    </row>
    <row r="15" spans="1:2">
      <c r="A15" s="1">
        <v>42826</v>
      </c>
      <c r="B15" s="2">
        <v>99.724999999999994</v>
      </c>
    </row>
    <row r="16" spans="1:2">
      <c r="A16" s="1">
        <v>42856</v>
      </c>
      <c r="B16" s="2">
        <v>99.682000000000002</v>
      </c>
    </row>
    <row r="17" spans="1:9">
      <c r="A17" s="1">
        <v>42887</v>
      </c>
      <c r="B17" s="2">
        <v>99.766000000000005</v>
      </c>
    </row>
    <row r="18" spans="1:9">
      <c r="A18" s="1">
        <v>42917</v>
      </c>
      <c r="B18" s="2">
        <v>99.802999999999997</v>
      </c>
    </row>
    <row r="19" spans="1:9">
      <c r="A19" s="1">
        <v>42948</v>
      </c>
      <c r="B19" s="2">
        <v>100.027</v>
      </c>
    </row>
    <row r="20" spans="1:9">
      <c r="A20" s="1">
        <v>42979</v>
      </c>
      <c r="B20" s="2">
        <v>100.4</v>
      </c>
    </row>
    <row r="21" spans="1:9">
      <c r="A21" s="1">
        <v>43009</v>
      </c>
      <c r="B21" s="2">
        <v>100.53100000000001</v>
      </c>
    </row>
    <row r="22" spans="1:9">
      <c r="A22" s="1">
        <v>43040</v>
      </c>
      <c r="B22" s="2">
        <v>100.675</v>
      </c>
    </row>
    <row r="23" spans="1:9" ht="13.8">
      <c r="A23" s="1">
        <v>43070</v>
      </c>
      <c r="B23" s="2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5">
        <v>43101</v>
      </c>
      <c r="B24" s="2">
        <v>101.199</v>
      </c>
      <c r="C24">
        <v>1</v>
      </c>
      <c r="D24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10</v>
      </c>
    </row>
    <row r="25" spans="1:9">
      <c r="A25" s="5">
        <v>43132</v>
      </c>
      <c r="B25" s="2">
        <v>101.416</v>
      </c>
      <c r="C25">
        <v>2</v>
      </c>
      <c r="D25">
        <f t="shared" ref="D25:D88" si="0"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11</v>
      </c>
    </row>
    <row r="26" spans="1:9">
      <c r="A26" s="5">
        <v>43160</v>
      </c>
      <c r="B26" s="2">
        <v>101.524</v>
      </c>
      <c r="C26">
        <v>3</v>
      </c>
      <c r="D26">
        <f t="shared" si="0"/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5">
        <v>43191</v>
      </c>
      <c r="B27" s="2">
        <v>101.76600000000001</v>
      </c>
      <c r="C27">
        <v>4</v>
      </c>
      <c r="D27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5">
        <v>43221</v>
      </c>
      <c r="B28" s="2">
        <v>101.941</v>
      </c>
      <c r="C28">
        <v>5</v>
      </c>
      <c r="D28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6">
        <v>43252</v>
      </c>
      <c r="B29" s="3">
        <v>102.029</v>
      </c>
      <c r="C29" s="4">
        <v>6</v>
      </c>
      <c r="D29" s="4">
        <f t="shared" si="0"/>
        <v>2.2683078403464014</v>
      </c>
      <c r="E29" s="4">
        <v>6</v>
      </c>
      <c r="F29" s="4">
        <v>6</v>
      </c>
      <c r="G29" s="4">
        <v>2.2683078399999999</v>
      </c>
      <c r="H29" s="4">
        <v>2.3222375461999998</v>
      </c>
      <c r="I29" t="s">
        <v>15</v>
      </c>
    </row>
    <row r="30" spans="1:9">
      <c r="A30" s="5">
        <v>43282</v>
      </c>
      <c r="B30" s="2">
        <v>102.137</v>
      </c>
      <c r="C30">
        <v>7</v>
      </c>
      <c r="D30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5">
        <v>43313</v>
      </c>
      <c r="B31" s="2">
        <v>102.208</v>
      </c>
      <c r="C31">
        <v>8</v>
      </c>
      <c r="D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5">
        <v>43344</v>
      </c>
      <c r="B32" s="2">
        <v>102.41800000000001</v>
      </c>
      <c r="C32">
        <v>9</v>
      </c>
      <c r="D32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5">
        <v>43374</v>
      </c>
      <c r="B33" s="2">
        <v>102.595</v>
      </c>
      <c r="C33">
        <v>10</v>
      </c>
      <c r="D33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5">
        <v>43405</v>
      </c>
      <c r="B34" s="2">
        <v>102.63</v>
      </c>
      <c r="C34">
        <v>11</v>
      </c>
      <c r="D34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5">
        <v>43435</v>
      </c>
      <c r="B35" s="2">
        <v>102.70099999999999</v>
      </c>
      <c r="C35">
        <v>12</v>
      </c>
      <c r="D35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6">
        <v>43466</v>
      </c>
      <c r="B36" s="3">
        <v>102.714</v>
      </c>
      <c r="C36" s="4">
        <v>13</v>
      </c>
      <c r="D36" s="4">
        <f t="shared" si="0"/>
        <v>1.4970503661103376</v>
      </c>
      <c r="E36" s="4">
        <v>13</v>
      </c>
      <c r="F36" s="4">
        <v>13</v>
      </c>
      <c r="G36" s="4">
        <v>1.4970503660000001</v>
      </c>
      <c r="H36" s="4">
        <v>1.5253491168</v>
      </c>
      <c r="I36" t="s">
        <v>21</v>
      </c>
    </row>
    <row r="37" spans="1:9">
      <c r="A37" s="5">
        <v>43497</v>
      </c>
      <c r="B37" s="2">
        <v>102.86199999999999</v>
      </c>
      <c r="C37">
        <v>14</v>
      </c>
      <c r="D37">
        <f t="shared" si="0"/>
        <v>1.4258105229943974</v>
      </c>
      <c r="E37">
        <v>14</v>
      </c>
      <c r="F37">
        <v>14</v>
      </c>
      <c r="G37">
        <v>1.425810523</v>
      </c>
      <c r="H37">
        <v>1.5058576435</v>
      </c>
      <c r="I37" t="s">
        <v>22</v>
      </c>
    </row>
    <row r="38" spans="1:9">
      <c r="A38" s="5">
        <v>43525</v>
      </c>
      <c r="B38" s="2">
        <v>103.056</v>
      </c>
      <c r="C38">
        <v>15</v>
      </c>
      <c r="D38">
        <f t="shared" si="0"/>
        <v>1.5090027973681066</v>
      </c>
      <c r="E38">
        <v>15</v>
      </c>
      <c r="F38">
        <v>15</v>
      </c>
      <c r="G38">
        <v>1.509002797</v>
      </c>
      <c r="H38">
        <v>1.4863661703</v>
      </c>
      <c r="I38" t="s">
        <v>23</v>
      </c>
    </row>
    <row r="39" spans="1:9">
      <c r="A39" s="5">
        <v>43556</v>
      </c>
      <c r="B39" s="2">
        <v>103.371</v>
      </c>
      <c r="C39">
        <v>16</v>
      </c>
      <c r="D39">
        <f t="shared" si="0"/>
        <v>1.5771475738458716</v>
      </c>
      <c r="E39">
        <v>16</v>
      </c>
      <c r="F39">
        <v>16</v>
      </c>
      <c r="G39">
        <v>1.5771475740000001</v>
      </c>
      <c r="H39">
        <v>1.4668746969999999</v>
      </c>
      <c r="I39" t="s">
        <v>24</v>
      </c>
    </row>
    <row r="40" spans="1:9">
      <c r="A40" s="5">
        <v>43586</v>
      </c>
      <c r="B40" s="2">
        <v>103.426</v>
      </c>
      <c r="C40">
        <v>17</v>
      </c>
      <c r="D40">
        <f t="shared" si="0"/>
        <v>1.4567249683640531</v>
      </c>
      <c r="E40">
        <v>17</v>
      </c>
      <c r="F40">
        <v>17</v>
      </c>
      <c r="G40">
        <v>1.4567249680000001</v>
      </c>
      <c r="H40">
        <v>1.4473832236999999</v>
      </c>
      <c r="I40" t="s">
        <v>25</v>
      </c>
    </row>
    <row r="41" spans="1:9">
      <c r="A41" s="5">
        <v>43617</v>
      </c>
      <c r="B41" s="2">
        <v>103.46899999999999</v>
      </c>
      <c r="C41">
        <v>18</v>
      </c>
      <c r="D41">
        <f t="shared" si="0"/>
        <v>1.4113634358858733</v>
      </c>
      <c r="E41">
        <v>18</v>
      </c>
      <c r="F41">
        <v>18</v>
      </c>
      <c r="G41">
        <v>1.411363436</v>
      </c>
      <c r="H41">
        <v>1.4278917504999999</v>
      </c>
      <c r="I41" t="s">
        <v>26</v>
      </c>
    </row>
    <row r="42" spans="1:9">
      <c r="A42" s="5">
        <v>43647</v>
      </c>
      <c r="B42" s="2">
        <v>103.608</v>
      </c>
      <c r="C42">
        <v>19</v>
      </c>
      <c r="D42">
        <f t="shared" si="0"/>
        <v>1.4402224463221003</v>
      </c>
      <c r="E42">
        <v>19</v>
      </c>
      <c r="F42">
        <v>19</v>
      </c>
      <c r="G42">
        <v>1.4402224459999999</v>
      </c>
      <c r="H42">
        <v>1.4084002771999999</v>
      </c>
      <c r="I42" t="s">
        <v>27</v>
      </c>
    </row>
    <row r="43" spans="1:9">
      <c r="A43" s="5">
        <v>43678</v>
      </c>
      <c r="B43" s="2">
        <v>103.661</v>
      </c>
      <c r="C43">
        <v>20</v>
      </c>
      <c r="D43">
        <f t="shared" si="0"/>
        <v>1.4216108328115244</v>
      </c>
      <c r="E43">
        <v>20</v>
      </c>
      <c r="F43">
        <v>20</v>
      </c>
      <c r="G43">
        <v>1.4216108329999999</v>
      </c>
      <c r="H43">
        <v>1.3889088038999999</v>
      </c>
      <c r="I43" t="s">
        <v>28</v>
      </c>
    </row>
    <row r="44" spans="1:9">
      <c r="A44" s="5">
        <v>43709</v>
      </c>
      <c r="B44" s="2">
        <v>103.754</v>
      </c>
      <c r="C44">
        <v>21</v>
      </c>
      <c r="D44">
        <f t="shared" si="0"/>
        <v>1.3044582007069054</v>
      </c>
      <c r="E44">
        <v>21</v>
      </c>
      <c r="F44">
        <v>21</v>
      </c>
      <c r="G44">
        <v>1.3044582010000001</v>
      </c>
      <c r="H44">
        <v>1.3694173305999999</v>
      </c>
      <c r="I44" t="s">
        <v>29</v>
      </c>
    </row>
    <row r="45" spans="1:9">
      <c r="A45" s="5">
        <v>43739</v>
      </c>
      <c r="B45" s="2">
        <v>103.961</v>
      </c>
      <c r="C45">
        <v>22</v>
      </c>
      <c r="D45">
        <f t="shared" si="0"/>
        <v>1.3314489010185679</v>
      </c>
      <c r="E45">
        <v>22</v>
      </c>
      <c r="F45">
        <v>22</v>
      </c>
      <c r="G45">
        <v>1.3314489009999999</v>
      </c>
      <c r="H45">
        <v>1.3499258573999999</v>
      </c>
      <c r="I45" t="s">
        <v>30</v>
      </c>
    </row>
    <row r="46" spans="1:9">
      <c r="A46" s="5">
        <v>43770</v>
      </c>
      <c r="B46" s="2">
        <v>103.997</v>
      </c>
      <c r="C46">
        <v>23</v>
      </c>
      <c r="D46">
        <f t="shared" si="0"/>
        <v>1.3319692097827189</v>
      </c>
      <c r="E46">
        <v>23</v>
      </c>
      <c r="F46">
        <v>23</v>
      </c>
      <c r="G46">
        <v>1.33196921</v>
      </c>
      <c r="H46">
        <v>1.3304343840999999</v>
      </c>
      <c r="I46" t="s">
        <v>31</v>
      </c>
    </row>
    <row r="47" spans="1:9">
      <c r="A47" s="6">
        <v>43800</v>
      </c>
      <c r="B47" s="3">
        <v>104.282</v>
      </c>
      <c r="C47" s="4">
        <v>24</v>
      </c>
      <c r="D47" s="4">
        <f t="shared" si="0"/>
        <v>1.5394202588095571</v>
      </c>
      <c r="E47" s="4">
        <v>24</v>
      </c>
      <c r="F47" s="4">
        <v>24</v>
      </c>
      <c r="G47" s="4">
        <v>1.5394202589999999</v>
      </c>
      <c r="H47" s="4">
        <v>1.8483446670999999</v>
      </c>
      <c r="I47" t="s">
        <v>32</v>
      </c>
    </row>
    <row r="48" spans="1:9">
      <c r="A48" s="5">
        <v>43831</v>
      </c>
      <c r="B48" s="2">
        <v>104.458</v>
      </c>
      <c r="C48">
        <v>25</v>
      </c>
      <c r="D48">
        <f t="shared" si="0"/>
        <v>1.6979184921237609</v>
      </c>
      <c r="E48">
        <v>25</v>
      </c>
      <c r="F48">
        <v>25</v>
      </c>
      <c r="G48">
        <v>1.6979184919999999</v>
      </c>
      <c r="H48">
        <v>1.5680777449000001</v>
      </c>
      <c r="I48" t="s">
        <v>33</v>
      </c>
    </row>
    <row r="49" spans="1:9">
      <c r="A49" s="5">
        <v>43862</v>
      </c>
      <c r="B49" s="2">
        <v>104.551</v>
      </c>
      <c r="C49">
        <v>26</v>
      </c>
      <c r="D49">
        <f t="shared" si="0"/>
        <v>1.6420057941708379</v>
      </c>
      <c r="E49">
        <v>26</v>
      </c>
      <c r="F49">
        <v>26</v>
      </c>
      <c r="G49">
        <v>1.6420057939999999</v>
      </c>
      <c r="H49">
        <v>1.2878108226</v>
      </c>
      <c r="I49" t="s">
        <v>34</v>
      </c>
    </row>
    <row r="50" spans="1:9">
      <c r="A50" s="5">
        <v>43891</v>
      </c>
      <c r="B50" s="2">
        <v>104.238</v>
      </c>
      <c r="C50">
        <v>27</v>
      </c>
      <c r="D50">
        <f t="shared" si="0"/>
        <v>1.1469492314857963</v>
      </c>
      <c r="E50">
        <v>27</v>
      </c>
      <c r="F50">
        <v>27</v>
      </c>
      <c r="G50">
        <v>1.146949231</v>
      </c>
      <c r="H50">
        <v>1.0075439004</v>
      </c>
      <c r="I50" t="s">
        <v>35</v>
      </c>
    </row>
    <row r="51" spans="1:9">
      <c r="A51" s="5">
        <v>43922</v>
      </c>
      <c r="B51" s="2">
        <v>103.79600000000001</v>
      </c>
      <c r="C51">
        <v>28</v>
      </c>
      <c r="D51">
        <f t="shared" si="0"/>
        <v>0.41114045525341864</v>
      </c>
      <c r="E51">
        <v>28</v>
      </c>
      <c r="F51">
        <v>28</v>
      </c>
      <c r="G51">
        <v>0.41114045500000002</v>
      </c>
      <c r="H51">
        <v>0.72727697810000003</v>
      </c>
      <c r="I51" t="s">
        <v>36</v>
      </c>
    </row>
    <row r="52" spans="1:9">
      <c r="A52" s="5">
        <v>43952</v>
      </c>
      <c r="B52" s="2">
        <v>103.89</v>
      </c>
      <c r="C52">
        <v>29</v>
      </c>
      <c r="D52">
        <f t="shared" si="0"/>
        <v>0.44862993831338216</v>
      </c>
      <c r="E52">
        <v>29</v>
      </c>
      <c r="F52">
        <v>29</v>
      </c>
      <c r="G52">
        <v>0.44862993800000001</v>
      </c>
      <c r="H52">
        <v>0.44701005589999998</v>
      </c>
      <c r="I52" t="s">
        <v>37</v>
      </c>
    </row>
    <row r="53" spans="1:9">
      <c r="A53" s="6">
        <v>43983</v>
      </c>
      <c r="B53" s="3">
        <v>104.199</v>
      </c>
      <c r="C53" s="4">
        <v>30</v>
      </c>
      <c r="D53" s="4">
        <f t="shared" si="0"/>
        <v>0.70552532642627652</v>
      </c>
      <c r="E53" s="4">
        <v>30</v>
      </c>
      <c r="F53" s="4">
        <v>30</v>
      </c>
      <c r="G53" s="4">
        <v>0.70552532599999995</v>
      </c>
      <c r="H53" s="4">
        <v>0.79284869540000003</v>
      </c>
      <c r="I53" t="s">
        <v>38</v>
      </c>
    </row>
    <row r="54" spans="1:9">
      <c r="A54" s="5">
        <v>44013</v>
      </c>
      <c r="B54" s="2">
        <v>104.541</v>
      </c>
      <c r="C54">
        <v>31</v>
      </c>
      <c r="D54">
        <f t="shared" si="0"/>
        <v>0.90050961315727807</v>
      </c>
      <c r="E54">
        <v>31</v>
      </c>
      <c r="F54">
        <v>31</v>
      </c>
      <c r="G54">
        <v>0.90050961299999999</v>
      </c>
      <c r="H54">
        <v>0.91014849990000002</v>
      </c>
      <c r="I54" t="s">
        <v>39</v>
      </c>
    </row>
    <row r="55" spans="1:9">
      <c r="A55" s="5">
        <v>44044</v>
      </c>
      <c r="B55" s="2">
        <v>104.869</v>
      </c>
      <c r="C55">
        <v>32</v>
      </c>
      <c r="D55">
        <f t="shared" si="0"/>
        <v>1.1653370119910076</v>
      </c>
      <c r="E55">
        <v>32</v>
      </c>
      <c r="F55">
        <v>32</v>
      </c>
      <c r="G55">
        <v>1.1653370119999999</v>
      </c>
      <c r="H55">
        <v>1.0274483044</v>
      </c>
      <c r="I55" t="s">
        <v>40</v>
      </c>
    </row>
    <row r="56" spans="1:9">
      <c r="A56" s="5">
        <v>44075</v>
      </c>
      <c r="B56" s="2">
        <v>105.048</v>
      </c>
      <c r="C56">
        <v>33</v>
      </c>
      <c r="D56">
        <f t="shared" si="0"/>
        <v>1.2471808315823938</v>
      </c>
      <c r="E56">
        <v>33</v>
      </c>
      <c r="F56">
        <v>33</v>
      </c>
      <c r="G56">
        <v>1.247180832</v>
      </c>
      <c r="H56">
        <v>1.1447481089</v>
      </c>
      <c r="I56" t="s">
        <v>41</v>
      </c>
    </row>
    <row r="57" spans="1:9">
      <c r="A57" s="5">
        <v>44105</v>
      </c>
      <c r="B57" s="2">
        <v>105.124</v>
      </c>
      <c r="C57">
        <v>34</v>
      </c>
      <c r="D57">
        <f t="shared" si="0"/>
        <v>1.11868873904637</v>
      </c>
      <c r="E57">
        <v>34</v>
      </c>
      <c r="F57">
        <v>34</v>
      </c>
      <c r="G57">
        <v>1.118688739</v>
      </c>
      <c r="H57">
        <v>1.2620479134</v>
      </c>
      <c r="I57" t="s">
        <v>42</v>
      </c>
    </row>
    <row r="58" spans="1:9">
      <c r="A58" s="6">
        <v>44136</v>
      </c>
      <c r="B58" s="3">
        <v>105.197</v>
      </c>
      <c r="C58" s="4">
        <v>35</v>
      </c>
      <c r="D58" s="4">
        <f t="shared" si="0"/>
        <v>1.1538794388299689</v>
      </c>
      <c r="E58" s="4">
        <v>35</v>
      </c>
      <c r="F58" s="4">
        <v>35</v>
      </c>
      <c r="G58" s="4">
        <v>1.153879439</v>
      </c>
      <c r="H58" s="4">
        <v>1.0193186811999999</v>
      </c>
      <c r="I58" t="s">
        <v>43</v>
      </c>
    </row>
    <row r="59" spans="1:9">
      <c r="A59" s="5">
        <v>44166</v>
      </c>
      <c r="B59" s="2">
        <v>105.70699999999999</v>
      </c>
      <c r="C59">
        <v>36</v>
      </c>
      <c r="D59">
        <f t="shared" si="0"/>
        <v>1.3664870255652914</v>
      </c>
      <c r="E59">
        <v>36</v>
      </c>
      <c r="F59">
        <v>36</v>
      </c>
      <c r="G59">
        <v>1.3664870259999999</v>
      </c>
      <c r="H59">
        <v>1.3830189502000001</v>
      </c>
      <c r="I59" t="s">
        <v>44</v>
      </c>
    </row>
    <row r="60" spans="1:9">
      <c r="A60" s="5">
        <v>44197</v>
      </c>
      <c r="B60" s="2">
        <v>106.145</v>
      </c>
      <c r="C60">
        <v>37</v>
      </c>
      <c r="D60">
        <f t="shared" si="0"/>
        <v>1.6150031591644467</v>
      </c>
      <c r="E60">
        <v>37</v>
      </c>
      <c r="F60">
        <v>37</v>
      </c>
      <c r="G60">
        <v>1.615003159</v>
      </c>
      <c r="H60">
        <v>1.7467192192000001</v>
      </c>
      <c r="I60" t="s">
        <v>45</v>
      </c>
    </row>
    <row r="61" spans="1:9">
      <c r="A61" s="5">
        <v>44228</v>
      </c>
      <c r="B61" s="2">
        <v>106.52200000000001</v>
      </c>
      <c r="C61">
        <v>38</v>
      </c>
      <c r="D61">
        <f t="shared" si="0"/>
        <v>1.8852043500301323</v>
      </c>
      <c r="E61">
        <v>38</v>
      </c>
      <c r="F61">
        <v>38</v>
      </c>
      <c r="G61">
        <v>1.88520435</v>
      </c>
      <c r="H61">
        <v>2.1104194881999998</v>
      </c>
      <c r="I61" t="s">
        <v>46</v>
      </c>
    </row>
    <row r="62" spans="1:9">
      <c r="A62" s="5">
        <v>44256</v>
      </c>
      <c r="B62" s="2">
        <v>107.066</v>
      </c>
      <c r="C62">
        <v>39</v>
      </c>
      <c r="D62">
        <f t="shared" si="0"/>
        <v>2.7130221224505489</v>
      </c>
      <c r="E62">
        <v>39</v>
      </c>
      <c r="F62">
        <v>39</v>
      </c>
      <c r="G62">
        <v>2.7130221219999999</v>
      </c>
      <c r="H62">
        <v>2.4741197572</v>
      </c>
      <c r="I62" t="s">
        <v>47</v>
      </c>
    </row>
    <row r="63" spans="1:9">
      <c r="A63" s="6">
        <v>44287</v>
      </c>
      <c r="B63" s="3">
        <v>107.66200000000001</v>
      </c>
      <c r="C63" s="4">
        <v>40</v>
      </c>
      <c r="D63" s="4">
        <f t="shared" si="0"/>
        <v>3.7246136652664839</v>
      </c>
      <c r="E63" s="4">
        <v>40</v>
      </c>
      <c r="F63" s="4">
        <v>40</v>
      </c>
      <c r="G63" s="4">
        <v>3.7246136650000001</v>
      </c>
      <c r="H63" s="4">
        <v>3.8702564268000001</v>
      </c>
      <c r="I63" t="s">
        <v>48</v>
      </c>
    </row>
    <row r="64" spans="1:9">
      <c r="A64" s="5">
        <v>44317</v>
      </c>
      <c r="B64" s="2">
        <v>108.20699999999999</v>
      </c>
      <c r="C64">
        <v>41</v>
      </c>
      <c r="D64">
        <f t="shared" si="0"/>
        <v>4.1553566272018418</v>
      </c>
      <c r="E64">
        <v>41</v>
      </c>
      <c r="F64">
        <v>41</v>
      </c>
      <c r="G64">
        <v>4.1553566269999997</v>
      </c>
      <c r="H64">
        <v>4.0712063672000003</v>
      </c>
      <c r="I64" t="s">
        <v>49</v>
      </c>
    </row>
    <row r="65" spans="1:9">
      <c r="A65" s="5">
        <v>44348</v>
      </c>
      <c r="B65" s="2">
        <v>108.755</v>
      </c>
      <c r="C65">
        <v>42</v>
      </c>
      <c r="D65">
        <f t="shared" si="0"/>
        <v>4.3724028061689628</v>
      </c>
      <c r="E65">
        <v>42</v>
      </c>
      <c r="F65">
        <v>42</v>
      </c>
      <c r="G65">
        <v>4.3724028060000002</v>
      </c>
      <c r="H65">
        <v>4.2721563076000004</v>
      </c>
      <c r="I65" t="s">
        <v>50</v>
      </c>
    </row>
    <row r="66" spans="1:9">
      <c r="A66" s="5">
        <v>44378</v>
      </c>
      <c r="B66" s="2">
        <v>109.28</v>
      </c>
      <c r="C66">
        <v>43</v>
      </c>
      <c r="D66">
        <f t="shared" si="0"/>
        <v>4.5331496733339112</v>
      </c>
      <c r="E66">
        <v>43</v>
      </c>
      <c r="F66">
        <v>43</v>
      </c>
      <c r="G66">
        <v>4.5331496729999996</v>
      </c>
      <c r="H66">
        <v>4.4731062479999997</v>
      </c>
      <c r="I66" t="s">
        <v>51</v>
      </c>
    </row>
    <row r="67" spans="1:9">
      <c r="A67" s="5">
        <v>44409</v>
      </c>
      <c r="B67" s="2">
        <v>109.74</v>
      </c>
      <c r="C67">
        <v>44</v>
      </c>
      <c r="D67">
        <f t="shared" si="0"/>
        <v>4.6448426131649914</v>
      </c>
      <c r="E67">
        <v>44</v>
      </c>
      <c r="F67">
        <v>44</v>
      </c>
      <c r="G67">
        <v>4.6448426129999998</v>
      </c>
      <c r="H67">
        <v>4.6740561884999998</v>
      </c>
      <c r="I67" t="s">
        <v>52</v>
      </c>
    </row>
    <row r="68" spans="1:9">
      <c r="A68" s="5">
        <v>44440</v>
      </c>
      <c r="B68" s="2">
        <v>110.096</v>
      </c>
      <c r="C68">
        <v>45</v>
      </c>
      <c r="D68">
        <f t="shared" si="0"/>
        <v>4.8054222831467532</v>
      </c>
      <c r="E68">
        <v>45</v>
      </c>
      <c r="F68">
        <v>45</v>
      </c>
      <c r="G68">
        <v>4.8054222830000004</v>
      </c>
      <c r="H68">
        <v>4.8750061289</v>
      </c>
      <c r="I68" t="s">
        <v>53</v>
      </c>
    </row>
    <row r="69" spans="1:9">
      <c r="A69" s="6">
        <v>44470</v>
      </c>
      <c r="B69" s="3">
        <v>110.80800000000001</v>
      </c>
      <c r="C69" s="4">
        <v>46</v>
      </c>
      <c r="D69" s="4">
        <f t="shared" si="0"/>
        <v>5.4069479852364948</v>
      </c>
      <c r="E69" s="4">
        <v>46</v>
      </c>
      <c r="F69" s="4">
        <v>46</v>
      </c>
      <c r="G69" s="4">
        <v>5.4069479850000004</v>
      </c>
      <c r="H69" s="4">
        <v>5.5590709274999996</v>
      </c>
      <c r="I69" t="s">
        <v>54</v>
      </c>
    </row>
    <row r="70" spans="1:9">
      <c r="A70" s="5">
        <v>44501</v>
      </c>
      <c r="B70" s="2">
        <v>111.494</v>
      </c>
      <c r="C70">
        <v>47</v>
      </c>
      <c r="D70">
        <f t="shared" si="0"/>
        <v>5.9859121457836224</v>
      </c>
      <c r="E70">
        <v>47</v>
      </c>
      <c r="F70">
        <v>47</v>
      </c>
      <c r="G70">
        <v>5.9859121460000004</v>
      </c>
      <c r="H70">
        <v>5.8227856459999998</v>
      </c>
      <c r="I70" t="s">
        <v>55</v>
      </c>
    </row>
    <row r="71" spans="1:9">
      <c r="A71" s="5">
        <v>44531</v>
      </c>
      <c r="B71" s="2">
        <v>112.24</v>
      </c>
      <c r="C71">
        <v>48</v>
      </c>
      <c r="D71">
        <f t="shared" si="0"/>
        <v>6.1802908038256712</v>
      </c>
      <c r="E71">
        <v>48</v>
      </c>
      <c r="F71">
        <v>48</v>
      </c>
      <c r="G71">
        <v>6.1802908040000002</v>
      </c>
      <c r="H71">
        <v>6.0865003644</v>
      </c>
      <c r="I71" t="s">
        <v>56</v>
      </c>
    </row>
    <row r="72" spans="1:9">
      <c r="A72" s="5">
        <v>44562</v>
      </c>
      <c r="B72" s="2">
        <v>112.82899999999999</v>
      </c>
      <c r="C72">
        <v>49</v>
      </c>
      <c r="D72">
        <f t="shared" si="0"/>
        <v>6.2970464930048493</v>
      </c>
      <c r="E72">
        <v>49</v>
      </c>
      <c r="F72">
        <v>49</v>
      </c>
      <c r="G72">
        <v>6.2970464929999999</v>
      </c>
      <c r="H72">
        <v>6.3502150829000001</v>
      </c>
      <c r="I72" t="s">
        <v>57</v>
      </c>
    </row>
    <row r="73" spans="1:9">
      <c r="A73" s="5">
        <v>44593</v>
      </c>
      <c r="B73" s="2">
        <v>113.496</v>
      </c>
      <c r="C73">
        <v>50</v>
      </c>
      <c r="D73">
        <f t="shared" si="0"/>
        <v>6.5470043746831541</v>
      </c>
      <c r="E73">
        <v>50</v>
      </c>
      <c r="F73">
        <v>50</v>
      </c>
      <c r="G73">
        <v>6.5470043750000002</v>
      </c>
      <c r="H73">
        <v>6.6139298014000003</v>
      </c>
      <c r="I73" t="s">
        <v>58</v>
      </c>
    </row>
    <row r="74" spans="1:9">
      <c r="A74" s="5">
        <v>44621</v>
      </c>
      <c r="B74" s="2">
        <v>114.446</v>
      </c>
      <c r="C74">
        <v>51</v>
      </c>
      <c r="D74">
        <f t="shared" si="0"/>
        <v>6.8929445388825537</v>
      </c>
      <c r="E74">
        <v>51</v>
      </c>
      <c r="F74">
        <v>51</v>
      </c>
      <c r="G74">
        <v>6.8929445390000001</v>
      </c>
      <c r="H74">
        <v>6.8776445197999996</v>
      </c>
      <c r="I74" t="s">
        <v>59</v>
      </c>
    </row>
    <row r="75" spans="1:9">
      <c r="A75" s="6">
        <v>44652</v>
      </c>
      <c r="B75" s="3">
        <v>114.789</v>
      </c>
      <c r="C75" s="4">
        <v>52</v>
      </c>
      <c r="D75" s="4">
        <f t="shared" si="0"/>
        <v>6.619791569913243</v>
      </c>
      <c r="E75" s="4">
        <v>52</v>
      </c>
      <c r="F75" s="4">
        <v>52</v>
      </c>
      <c r="G75" s="4">
        <v>6.6197915700000003</v>
      </c>
      <c r="H75" s="4">
        <v>7.3558350059000004</v>
      </c>
      <c r="I75" t="s">
        <v>60</v>
      </c>
    </row>
    <row r="76" spans="1:9">
      <c r="A76" s="5">
        <v>44682</v>
      </c>
      <c r="B76" s="2">
        <v>115.446</v>
      </c>
      <c r="C76">
        <v>53</v>
      </c>
      <c r="D76">
        <f t="shared" si="0"/>
        <v>6.6899553633313973</v>
      </c>
      <c r="E76">
        <v>53</v>
      </c>
      <c r="F76">
        <v>53</v>
      </c>
      <c r="G76">
        <v>6.6899553630000002</v>
      </c>
      <c r="H76">
        <v>7.1095374703000003</v>
      </c>
      <c r="I76" t="s">
        <v>61</v>
      </c>
    </row>
    <row r="77" spans="1:9">
      <c r="A77" s="5">
        <v>44713</v>
      </c>
      <c r="B77" s="2">
        <v>116.495</v>
      </c>
      <c r="C77">
        <v>54</v>
      </c>
      <c r="D77">
        <f t="shared" si="0"/>
        <v>7.1169141648659915</v>
      </c>
      <c r="E77">
        <v>54</v>
      </c>
      <c r="F77">
        <v>54</v>
      </c>
      <c r="G77">
        <v>7.1169141649999998</v>
      </c>
      <c r="H77">
        <v>6.8632399348000002</v>
      </c>
    </row>
    <row r="78" spans="1:9">
      <c r="A78" s="5">
        <v>44743</v>
      </c>
      <c r="B78" s="2">
        <v>116.511</v>
      </c>
      <c r="C78">
        <v>55</v>
      </c>
      <c r="D78">
        <f t="shared" si="0"/>
        <v>6.616947291361635</v>
      </c>
      <c r="E78">
        <v>55</v>
      </c>
      <c r="F78">
        <v>55</v>
      </c>
      <c r="G78">
        <v>6.6169472909999998</v>
      </c>
      <c r="H78">
        <v>6.6169423992</v>
      </c>
    </row>
    <row r="79" spans="1:9">
      <c r="A79" s="5">
        <v>44774</v>
      </c>
      <c r="B79" s="2">
        <v>116.89</v>
      </c>
      <c r="C79">
        <v>56</v>
      </c>
      <c r="D79">
        <f t="shared" si="0"/>
        <v>6.5154000364497957</v>
      </c>
      <c r="E79">
        <v>56</v>
      </c>
      <c r="F79">
        <v>56</v>
      </c>
      <c r="G79">
        <v>6.515400036</v>
      </c>
      <c r="H79">
        <v>6.3706448636999999</v>
      </c>
    </row>
    <row r="80" spans="1:9">
      <c r="A80" s="5">
        <v>44805</v>
      </c>
      <c r="B80" s="2">
        <v>117.31399999999999</v>
      </c>
      <c r="C80">
        <v>57</v>
      </c>
      <c r="D80">
        <f t="shared" si="0"/>
        <v>6.5560964976020832</v>
      </c>
      <c r="E80">
        <v>57</v>
      </c>
      <c r="F80">
        <v>57</v>
      </c>
      <c r="G80">
        <v>6.5560964979999996</v>
      </c>
      <c r="H80">
        <v>6.1243473280999998</v>
      </c>
    </row>
    <row r="81" spans="1:8">
      <c r="A81" s="5">
        <v>44835</v>
      </c>
      <c r="B81" s="2">
        <v>117.842</v>
      </c>
      <c r="C81">
        <v>58</v>
      </c>
      <c r="D81">
        <f t="shared" si="0"/>
        <v>6.3479171178976168</v>
      </c>
      <c r="E81">
        <v>58</v>
      </c>
      <c r="F81">
        <v>58</v>
      </c>
      <c r="G81">
        <v>6.3479171179999998</v>
      </c>
      <c r="H81">
        <v>5.8780497925999997</v>
      </c>
    </row>
    <row r="82" spans="1:8">
      <c r="A82" s="5">
        <v>44866</v>
      </c>
      <c r="B82" s="2">
        <v>118.104</v>
      </c>
      <c r="C82">
        <v>59</v>
      </c>
      <c r="D82">
        <f t="shared" si="0"/>
        <v>5.9285701472724988</v>
      </c>
      <c r="E82">
        <v>59</v>
      </c>
      <c r="F82">
        <v>59</v>
      </c>
      <c r="G82">
        <v>5.9285701470000003</v>
      </c>
      <c r="H82">
        <v>5.6317522569999996</v>
      </c>
    </row>
    <row r="83" spans="1:8">
      <c r="A83" s="5">
        <v>44896</v>
      </c>
      <c r="B83" s="2">
        <v>118.348</v>
      </c>
      <c r="C83">
        <v>60</v>
      </c>
      <c r="D83">
        <f t="shared" si="0"/>
        <v>5.441910192444765</v>
      </c>
      <c r="E83">
        <v>60</v>
      </c>
      <c r="F83">
        <v>60</v>
      </c>
      <c r="G83">
        <v>5.4419101919999999</v>
      </c>
      <c r="H83">
        <v>5.3854547215000004</v>
      </c>
    </row>
    <row r="84" spans="1:8">
      <c r="A84" s="5">
        <v>44927</v>
      </c>
      <c r="B84" s="2">
        <v>119.011</v>
      </c>
      <c r="C84">
        <v>61</v>
      </c>
      <c r="D84">
        <f t="shared" si="0"/>
        <v>5.4790878231660329</v>
      </c>
      <c r="E84">
        <v>61</v>
      </c>
      <c r="F84">
        <v>61</v>
      </c>
      <c r="G84">
        <v>5.4790878230000004</v>
      </c>
      <c r="H84">
        <v>5.1391571859000003</v>
      </c>
    </row>
    <row r="85" spans="1:8">
      <c r="A85" s="5">
        <v>44958</v>
      </c>
      <c r="B85" s="2">
        <v>119.386</v>
      </c>
      <c r="C85">
        <v>62</v>
      </c>
      <c r="D85">
        <f t="shared" si="0"/>
        <v>5.1896102065271021</v>
      </c>
      <c r="E85">
        <v>62</v>
      </c>
      <c r="F85">
        <v>62</v>
      </c>
      <c r="G85">
        <v>5.1896102070000003</v>
      </c>
      <c r="H85">
        <v>4.8928596504000001</v>
      </c>
    </row>
    <row r="86" spans="1:8">
      <c r="A86" s="5">
        <v>44986</v>
      </c>
      <c r="B86" s="2">
        <v>119.53</v>
      </c>
      <c r="C86">
        <v>63</v>
      </c>
      <c r="D86">
        <f t="shared" si="0"/>
        <v>4.4422697167222998</v>
      </c>
      <c r="E86">
        <v>63</v>
      </c>
      <c r="F86">
        <v>63</v>
      </c>
      <c r="G86">
        <v>4.4422697170000003</v>
      </c>
      <c r="H86">
        <v>4.6465621148</v>
      </c>
    </row>
    <row r="87" spans="1:8">
      <c r="A87" s="5">
        <v>45017</v>
      </c>
      <c r="B87" s="2">
        <v>119.893</v>
      </c>
      <c r="C87">
        <v>64</v>
      </c>
      <c r="D87">
        <f t="shared" si="0"/>
        <v>4.4464190819677833</v>
      </c>
      <c r="E87">
        <v>64</v>
      </c>
      <c r="F87">
        <v>64</v>
      </c>
      <c r="G87">
        <v>4.4464190820000002</v>
      </c>
      <c r="H87">
        <v>4.4002645792999999</v>
      </c>
    </row>
    <row r="88" spans="1:8">
      <c r="A88" s="5">
        <v>45047</v>
      </c>
      <c r="B88" s="2">
        <v>120.02</v>
      </c>
      <c r="C88">
        <v>65</v>
      </c>
      <c r="D88">
        <f t="shared" si="0"/>
        <v>3.9620255357483138</v>
      </c>
      <c r="E88">
        <v>65</v>
      </c>
      <c r="F88">
        <v>65</v>
      </c>
      <c r="G88">
        <v>3.9620255360000001</v>
      </c>
      <c r="H88">
        <v>4.1539670436999998</v>
      </c>
    </row>
    <row r="89" spans="1:8">
      <c r="A89" s="5">
        <v>45078</v>
      </c>
      <c r="B89" s="2">
        <v>120.221</v>
      </c>
      <c r="C89">
        <v>66</v>
      </c>
      <c r="D89">
        <f t="shared" ref="D89:D95" si="1">100*(B89-B77)/B77</f>
        <v>3.1984205330700881</v>
      </c>
      <c r="E89">
        <v>66</v>
      </c>
      <c r="F89">
        <v>66</v>
      </c>
      <c r="G89">
        <v>3.1984205330000002</v>
      </c>
      <c r="H89">
        <v>3.9076695082000001</v>
      </c>
    </row>
    <row r="90" spans="1:8">
      <c r="A90" s="5">
        <v>45108</v>
      </c>
      <c r="B90" s="2">
        <v>120.373</v>
      </c>
      <c r="C90">
        <v>67</v>
      </c>
      <c r="D90">
        <f t="shared" si="1"/>
        <v>3.3147084824608912</v>
      </c>
      <c r="E90">
        <v>67</v>
      </c>
      <c r="F90">
        <v>67</v>
      </c>
      <c r="G90">
        <v>3.3147084819999999</v>
      </c>
      <c r="H90">
        <v>3.6613719726</v>
      </c>
    </row>
    <row r="91" spans="1:8">
      <c r="A91" s="5">
        <v>45139</v>
      </c>
      <c r="B91" s="2">
        <v>120.803</v>
      </c>
      <c r="C91">
        <v>68</v>
      </c>
      <c r="D91">
        <f t="shared" si="1"/>
        <v>3.3475917529301022</v>
      </c>
      <c r="E91">
        <v>68</v>
      </c>
      <c r="F91">
        <v>68</v>
      </c>
      <c r="G91">
        <v>3.3475917530000001</v>
      </c>
      <c r="H91">
        <v>3.4150744370999999</v>
      </c>
    </row>
    <row r="92" spans="1:8">
      <c r="A92" s="5">
        <v>45170</v>
      </c>
      <c r="B92" s="2">
        <v>121.267</v>
      </c>
      <c r="C92">
        <v>69</v>
      </c>
      <c r="D92">
        <f t="shared" si="1"/>
        <v>3.369589307329051</v>
      </c>
      <c r="E92">
        <v>69</v>
      </c>
      <c r="F92">
        <v>69</v>
      </c>
      <c r="G92">
        <v>3.369589307</v>
      </c>
      <c r="H92">
        <v>3.1687769014999998</v>
      </c>
    </row>
    <row r="93" spans="1:8">
      <c r="A93" s="5">
        <v>45200</v>
      </c>
      <c r="B93" s="2">
        <v>121.29900000000001</v>
      </c>
      <c r="C93">
        <v>70</v>
      </c>
      <c r="D93">
        <f t="shared" si="1"/>
        <v>2.9335890429558287</v>
      </c>
      <c r="E93">
        <v>70</v>
      </c>
      <c r="F93">
        <v>70</v>
      </c>
      <c r="G93">
        <v>2.933589043</v>
      </c>
      <c r="H93">
        <v>2.9224793660000001</v>
      </c>
    </row>
    <row r="94" spans="1:8">
      <c r="A94" s="5">
        <v>45231</v>
      </c>
      <c r="B94" s="2">
        <v>121.218</v>
      </c>
      <c r="C94">
        <v>71</v>
      </c>
      <c r="D94">
        <f t="shared" si="1"/>
        <v>2.6366592156065876</v>
      </c>
      <c r="E94">
        <v>71</v>
      </c>
      <c r="F94">
        <v>71</v>
      </c>
      <c r="G94">
        <v>2.636659216</v>
      </c>
      <c r="H94">
        <v>2.6761818304</v>
      </c>
    </row>
    <row r="95" spans="1:8">
      <c r="A95" s="5">
        <v>45261</v>
      </c>
      <c r="B95" s="2">
        <v>121.42100000000001</v>
      </c>
      <c r="C95">
        <v>72</v>
      </c>
      <c r="D95">
        <f t="shared" si="1"/>
        <v>2.5965795788691044</v>
      </c>
      <c r="E95">
        <v>72</v>
      </c>
      <c r="F95">
        <v>72</v>
      </c>
      <c r="G95">
        <v>2.5965795790000001</v>
      </c>
      <c r="H95">
        <v>2.4298842948999999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4"/>
  <sheetViews>
    <sheetView topLeftCell="A69" workbookViewId="0">
      <selection activeCell="I79" sqref="I79:I95"/>
    </sheetView>
  </sheetViews>
  <sheetFormatPr defaultRowHeight="13.2"/>
  <cols>
    <col min="1" max="1" width="18" customWidth="1"/>
    <col min="3" max="3" width="3.5546875" bestFit="1" customWidth="1"/>
    <col min="5" max="6" width="3.554687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8" spans="1:2">
      <c r="A8" t="s">
        <v>6</v>
      </c>
      <c r="B8" t="s">
        <v>7</v>
      </c>
    </row>
    <row r="10" spans="1:2">
      <c r="A10" t="s">
        <v>8</v>
      </c>
    </row>
    <row r="11" spans="1:2">
      <c r="A11" t="s">
        <v>9</v>
      </c>
      <c r="B11" t="s">
        <v>6</v>
      </c>
    </row>
    <row r="12" spans="1:2">
      <c r="A12" s="1">
        <v>42736</v>
      </c>
      <c r="B12" s="2">
        <v>99.450999999999993</v>
      </c>
    </row>
    <row r="13" spans="1:2">
      <c r="A13" s="1">
        <v>42767</v>
      </c>
      <c r="B13" s="2">
        <v>99.585999999999999</v>
      </c>
    </row>
    <row r="14" spans="1:2">
      <c r="A14" s="1">
        <v>42795</v>
      </c>
      <c r="B14" s="2">
        <v>99.534999999999997</v>
      </c>
    </row>
    <row r="15" spans="1:2">
      <c r="A15" s="1">
        <v>42826</v>
      </c>
      <c r="B15" s="2">
        <v>99.724999999999994</v>
      </c>
    </row>
    <row r="16" spans="1:2">
      <c r="A16" s="1">
        <v>42856</v>
      </c>
      <c r="B16" s="2">
        <v>99.682000000000002</v>
      </c>
    </row>
    <row r="17" spans="1:9">
      <c r="A17" s="1">
        <v>42887</v>
      </c>
      <c r="B17" s="2">
        <v>99.766000000000005</v>
      </c>
    </row>
    <row r="18" spans="1:9">
      <c r="A18" s="1">
        <v>42917</v>
      </c>
      <c r="B18" s="2">
        <v>99.802999999999997</v>
      </c>
    </row>
    <row r="19" spans="1:9">
      <c r="A19" s="1">
        <v>42948</v>
      </c>
      <c r="B19" s="2">
        <v>100.027</v>
      </c>
    </row>
    <row r="20" spans="1:9">
      <c r="A20" s="1">
        <v>42979</v>
      </c>
      <c r="B20" s="2">
        <v>100.4</v>
      </c>
    </row>
    <row r="21" spans="1:9">
      <c r="A21" s="1">
        <v>43009</v>
      </c>
      <c r="B21" s="2">
        <v>100.53100000000001</v>
      </c>
    </row>
    <row r="22" spans="1:9">
      <c r="A22" s="1">
        <v>43040</v>
      </c>
      <c r="B22" s="2">
        <v>100.675</v>
      </c>
    </row>
    <row r="23" spans="1:9" ht="13.8">
      <c r="A23" s="1">
        <v>43070</v>
      </c>
      <c r="B23" s="2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5">
        <v>43101</v>
      </c>
      <c r="B24" s="2">
        <v>101.199</v>
      </c>
      <c r="C24">
        <v>1</v>
      </c>
      <c r="D24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10</v>
      </c>
    </row>
    <row r="25" spans="1:9">
      <c r="A25" s="5">
        <v>43132</v>
      </c>
      <c r="B25" s="2">
        <v>101.416</v>
      </c>
      <c r="C25">
        <v>2</v>
      </c>
      <c r="D25">
        <f t="shared" ref="D25:D88" si="0"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111</v>
      </c>
    </row>
    <row r="26" spans="1:9">
      <c r="A26" s="5">
        <v>43160</v>
      </c>
      <c r="B26" s="2">
        <v>101.524</v>
      </c>
      <c r="C26">
        <v>3</v>
      </c>
      <c r="D26">
        <f t="shared" si="0"/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5">
        <v>43191</v>
      </c>
      <c r="B27" s="2">
        <v>101.76600000000001</v>
      </c>
      <c r="C27">
        <v>4</v>
      </c>
      <c r="D27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5">
        <v>43221</v>
      </c>
      <c r="B28" s="2">
        <v>101.941</v>
      </c>
      <c r="C28">
        <v>5</v>
      </c>
      <c r="D28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6">
        <v>43252</v>
      </c>
      <c r="B29" s="2">
        <v>102.029</v>
      </c>
      <c r="C29" s="4">
        <v>6</v>
      </c>
      <c r="D29" s="4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>
      <c r="A30" s="5">
        <v>43282</v>
      </c>
      <c r="B30" s="2">
        <v>102.137</v>
      </c>
      <c r="C30">
        <v>7</v>
      </c>
      <c r="D30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5">
        <v>43313</v>
      </c>
      <c r="B31" s="2">
        <v>102.208</v>
      </c>
      <c r="C31">
        <v>8</v>
      </c>
      <c r="D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5">
        <v>43344</v>
      </c>
      <c r="B32" s="2">
        <v>102.41800000000001</v>
      </c>
      <c r="C32">
        <v>9</v>
      </c>
      <c r="D32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5">
        <v>43374</v>
      </c>
      <c r="B33" s="2">
        <v>102.595</v>
      </c>
      <c r="C33">
        <v>10</v>
      </c>
      <c r="D33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5">
        <v>43405</v>
      </c>
      <c r="B34" s="2">
        <v>102.63</v>
      </c>
      <c r="C34">
        <v>11</v>
      </c>
      <c r="D34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5">
        <v>43435</v>
      </c>
      <c r="B35" s="2">
        <v>102.70099999999999</v>
      </c>
      <c r="C35">
        <v>12</v>
      </c>
      <c r="D35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6">
        <v>43466</v>
      </c>
      <c r="B36" s="2">
        <v>102.714</v>
      </c>
      <c r="C36" s="4">
        <v>13</v>
      </c>
      <c r="D36" s="4">
        <f t="shared" si="0"/>
        <v>1.4970503661103376</v>
      </c>
      <c r="E36">
        <v>13</v>
      </c>
      <c r="F36">
        <v>13</v>
      </c>
      <c r="G36">
        <v>1.4970503660000001</v>
      </c>
      <c r="H36">
        <v>1.5253491168</v>
      </c>
      <c r="I36" t="s">
        <v>21</v>
      </c>
    </row>
    <row r="37" spans="1:9">
      <c r="A37" s="5">
        <v>43497</v>
      </c>
      <c r="B37" s="2">
        <v>102.86199999999999</v>
      </c>
      <c r="C37">
        <v>14</v>
      </c>
      <c r="D37">
        <f t="shared" si="0"/>
        <v>1.4258105229943974</v>
      </c>
      <c r="E37">
        <v>14</v>
      </c>
      <c r="F37">
        <v>14</v>
      </c>
      <c r="G37">
        <v>1.425810523</v>
      </c>
      <c r="H37">
        <v>1.5058576435</v>
      </c>
      <c r="I37" t="s">
        <v>22</v>
      </c>
    </row>
    <row r="38" spans="1:9">
      <c r="A38" s="5">
        <v>43525</v>
      </c>
      <c r="B38" s="2">
        <v>103.056</v>
      </c>
      <c r="C38">
        <v>15</v>
      </c>
      <c r="D38">
        <f t="shared" si="0"/>
        <v>1.5090027973681066</v>
      </c>
      <c r="E38">
        <v>15</v>
      </c>
      <c r="F38">
        <v>15</v>
      </c>
      <c r="G38">
        <v>1.509002797</v>
      </c>
      <c r="H38">
        <v>1.4863661703</v>
      </c>
      <c r="I38" t="s">
        <v>23</v>
      </c>
    </row>
    <row r="39" spans="1:9">
      <c r="A39" s="5">
        <v>43556</v>
      </c>
      <c r="B39" s="2">
        <v>103.371</v>
      </c>
      <c r="C39">
        <v>16</v>
      </c>
      <c r="D39">
        <f t="shared" si="0"/>
        <v>1.5771475738458716</v>
      </c>
      <c r="E39">
        <v>16</v>
      </c>
      <c r="F39">
        <v>16</v>
      </c>
      <c r="G39">
        <v>1.5771475740000001</v>
      </c>
      <c r="H39">
        <v>1.4668746969999999</v>
      </c>
      <c r="I39" t="s">
        <v>24</v>
      </c>
    </row>
    <row r="40" spans="1:9">
      <c r="A40" s="5">
        <v>43586</v>
      </c>
      <c r="B40" s="2">
        <v>103.426</v>
      </c>
      <c r="C40">
        <v>17</v>
      </c>
      <c r="D40">
        <f t="shared" si="0"/>
        <v>1.4567249683640531</v>
      </c>
      <c r="E40">
        <v>17</v>
      </c>
      <c r="F40">
        <v>17</v>
      </c>
      <c r="G40">
        <v>1.4567249680000001</v>
      </c>
      <c r="H40">
        <v>1.4473832236999999</v>
      </c>
      <c r="I40" t="s">
        <v>25</v>
      </c>
    </row>
    <row r="41" spans="1:9">
      <c r="A41" s="5">
        <v>43617</v>
      </c>
      <c r="B41" s="2">
        <v>103.46899999999999</v>
      </c>
      <c r="C41">
        <v>18</v>
      </c>
      <c r="D41">
        <f t="shared" si="0"/>
        <v>1.4113634358858733</v>
      </c>
      <c r="E41">
        <v>18</v>
      </c>
      <c r="F41">
        <v>18</v>
      </c>
      <c r="G41">
        <v>1.411363436</v>
      </c>
      <c r="H41">
        <v>1.4278917504999999</v>
      </c>
      <c r="I41" t="s">
        <v>26</v>
      </c>
    </row>
    <row r="42" spans="1:9">
      <c r="A42" s="5">
        <v>43647</v>
      </c>
      <c r="B42" s="2">
        <v>103.608</v>
      </c>
      <c r="C42">
        <v>19</v>
      </c>
      <c r="D42">
        <f t="shared" si="0"/>
        <v>1.4402224463221003</v>
      </c>
      <c r="E42">
        <v>19</v>
      </c>
      <c r="F42">
        <v>19</v>
      </c>
      <c r="G42">
        <v>1.4402224459999999</v>
      </c>
      <c r="H42">
        <v>1.4084002771999999</v>
      </c>
      <c r="I42" t="s">
        <v>27</v>
      </c>
    </row>
    <row r="43" spans="1:9">
      <c r="A43" s="5">
        <v>43678</v>
      </c>
      <c r="B43" s="2">
        <v>103.661</v>
      </c>
      <c r="C43">
        <v>20</v>
      </c>
      <c r="D43">
        <f t="shared" si="0"/>
        <v>1.4216108328115244</v>
      </c>
      <c r="E43">
        <v>20</v>
      </c>
      <c r="F43">
        <v>20</v>
      </c>
      <c r="G43">
        <v>1.4216108329999999</v>
      </c>
      <c r="H43">
        <v>1.3889088038999999</v>
      </c>
      <c r="I43" t="s">
        <v>28</v>
      </c>
    </row>
    <row r="44" spans="1:9">
      <c r="A44" s="5">
        <v>43709</v>
      </c>
      <c r="B44" s="2">
        <v>103.754</v>
      </c>
      <c r="C44">
        <v>21</v>
      </c>
      <c r="D44">
        <f t="shared" si="0"/>
        <v>1.3044582007069054</v>
      </c>
      <c r="E44">
        <v>21</v>
      </c>
      <c r="F44">
        <v>21</v>
      </c>
      <c r="G44">
        <v>1.3044582010000001</v>
      </c>
      <c r="H44">
        <v>1.3694173305999999</v>
      </c>
      <c r="I44" t="s">
        <v>29</v>
      </c>
    </row>
    <row r="45" spans="1:9">
      <c r="A45" s="5">
        <v>43739</v>
      </c>
      <c r="B45" s="2">
        <v>103.961</v>
      </c>
      <c r="C45">
        <v>22</v>
      </c>
      <c r="D45">
        <f t="shared" si="0"/>
        <v>1.3314489010185679</v>
      </c>
      <c r="E45">
        <v>22</v>
      </c>
      <c r="F45">
        <v>22</v>
      </c>
      <c r="G45">
        <v>1.3314489009999999</v>
      </c>
      <c r="H45">
        <v>1.3499258573999999</v>
      </c>
      <c r="I45" t="s">
        <v>30</v>
      </c>
    </row>
    <row r="46" spans="1:9">
      <c r="A46" s="5">
        <v>43770</v>
      </c>
      <c r="B46" s="2">
        <v>103.997</v>
      </c>
      <c r="C46">
        <v>23</v>
      </c>
      <c r="D46">
        <f t="shared" si="0"/>
        <v>1.3319692097827189</v>
      </c>
      <c r="E46">
        <v>23</v>
      </c>
      <c r="F46">
        <v>23</v>
      </c>
      <c r="G46">
        <v>1.33196921</v>
      </c>
      <c r="H46">
        <v>1.3304343840999999</v>
      </c>
      <c r="I46" t="s">
        <v>31</v>
      </c>
    </row>
    <row r="47" spans="1:9">
      <c r="A47" s="6">
        <v>43800</v>
      </c>
      <c r="B47" s="2">
        <v>104.282</v>
      </c>
      <c r="C47" s="4">
        <v>24</v>
      </c>
      <c r="D47" s="4">
        <f t="shared" si="0"/>
        <v>1.5394202588095571</v>
      </c>
      <c r="E47">
        <v>24</v>
      </c>
      <c r="F47">
        <v>24</v>
      </c>
      <c r="G47">
        <v>1.5394202589999999</v>
      </c>
      <c r="H47">
        <v>1.8483446670999999</v>
      </c>
      <c r="I47" t="s">
        <v>32</v>
      </c>
    </row>
    <row r="48" spans="1:9">
      <c r="A48" s="5">
        <v>43831</v>
      </c>
      <c r="B48" s="2">
        <v>104.458</v>
      </c>
      <c r="C48">
        <v>25</v>
      </c>
      <c r="D48">
        <f t="shared" si="0"/>
        <v>1.6979184921237609</v>
      </c>
      <c r="E48">
        <v>25</v>
      </c>
      <c r="F48">
        <v>25</v>
      </c>
      <c r="G48">
        <v>1.6979184919999999</v>
      </c>
      <c r="H48">
        <v>1.5680777449000001</v>
      </c>
      <c r="I48" t="s">
        <v>33</v>
      </c>
    </row>
    <row r="49" spans="1:9">
      <c r="A49" s="5">
        <v>43862</v>
      </c>
      <c r="B49" s="2">
        <v>104.551</v>
      </c>
      <c r="C49">
        <v>26</v>
      </c>
      <c r="D49">
        <f t="shared" si="0"/>
        <v>1.6420057941708379</v>
      </c>
      <c r="E49">
        <v>26</v>
      </c>
      <c r="F49">
        <v>26</v>
      </c>
      <c r="G49">
        <v>1.6420057939999999</v>
      </c>
      <c r="H49">
        <v>1.2878108226</v>
      </c>
      <c r="I49" t="s">
        <v>34</v>
      </c>
    </row>
    <row r="50" spans="1:9">
      <c r="A50" s="5">
        <v>43891</v>
      </c>
      <c r="B50" s="2">
        <v>104.238</v>
      </c>
      <c r="C50">
        <v>27</v>
      </c>
      <c r="D50">
        <f t="shared" si="0"/>
        <v>1.1469492314857963</v>
      </c>
      <c r="E50">
        <v>27</v>
      </c>
      <c r="F50">
        <v>27</v>
      </c>
      <c r="G50">
        <v>1.146949231</v>
      </c>
      <c r="H50">
        <v>1.0075439004</v>
      </c>
      <c r="I50" t="s">
        <v>35</v>
      </c>
    </row>
    <row r="51" spans="1:9">
      <c r="A51" s="5">
        <v>43922</v>
      </c>
      <c r="B51" s="2">
        <v>103.79600000000001</v>
      </c>
      <c r="C51">
        <v>28</v>
      </c>
      <c r="D51">
        <f t="shared" si="0"/>
        <v>0.41114045525341864</v>
      </c>
      <c r="E51">
        <v>28</v>
      </c>
      <c r="F51">
        <v>28</v>
      </c>
      <c r="G51">
        <v>0.41114045500000002</v>
      </c>
      <c r="H51">
        <v>0.72727697810000003</v>
      </c>
      <c r="I51" t="s">
        <v>36</v>
      </c>
    </row>
    <row r="52" spans="1:9">
      <c r="A52" s="5">
        <v>43952</v>
      </c>
      <c r="B52" s="2">
        <v>103.89</v>
      </c>
      <c r="C52">
        <v>29</v>
      </c>
      <c r="D52">
        <f t="shared" si="0"/>
        <v>0.44862993831338216</v>
      </c>
      <c r="E52">
        <v>29</v>
      </c>
      <c r="F52">
        <v>29</v>
      </c>
      <c r="G52">
        <v>0.44862993800000001</v>
      </c>
      <c r="H52">
        <v>0.44701005589999998</v>
      </c>
      <c r="I52" t="s">
        <v>37</v>
      </c>
    </row>
    <row r="53" spans="1:9">
      <c r="A53" s="6">
        <v>43983</v>
      </c>
      <c r="B53" s="2">
        <v>104.199</v>
      </c>
      <c r="C53" s="4">
        <v>30</v>
      </c>
      <c r="D53" s="4">
        <f t="shared" si="0"/>
        <v>0.70552532642627652</v>
      </c>
      <c r="E53">
        <v>30</v>
      </c>
      <c r="F53">
        <v>30</v>
      </c>
      <c r="G53">
        <v>0.70552532599999995</v>
      </c>
      <c r="H53">
        <v>0.79284869540000003</v>
      </c>
      <c r="I53" t="s">
        <v>38</v>
      </c>
    </row>
    <row r="54" spans="1:9">
      <c r="A54" s="5">
        <v>44013</v>
      </c>
      <c r="B54" s="2">
        <v>104.541</v>
      </c>
      <c r="C54">
        <v>31</v>
      </c>
      <c r="D54">
        <f t="shared" si="0"/>
        <v>0.90050961315727807</v>
      </c>
      <c r="E54">
        <v>31</v>
      </c>
      <c r="F54">
        <v>31</v>
      </c>
      <c r="G54">
        <v>0.90050961299999999</v>
      </c>
      <c r="H54">
        <v>0.91014849990000002</v>
      </c>
      <c r="I54" t="s">
        <v>39</v>
      </c>
    </row>
    <row r="55" spans="1:9">
      <c r="A55" s="5">
        <v>44044</v>
      </c>
      <c r="B55" s="2">
        <v>104.869</v>
      </c>
      <c r="C55">
        <v>32</v>
      </c>
      <c r="D55">
        <f t="shared" si="0"/>
        <v>1.1653370119910076</v>
      </c>
      <c r="E55">
        <v>32</v>
      </c>
      <c r="F55">
        <v>32</v>
      </c>
      <c r="G55">
        <v>1.1653370119999999</v>
      </c>
      <c r="H55">
        <v>1.0274483044</v>
      </c>
      <c r="I55" t="s">
        <v>40</v>
      </c>
    </row>
    <row r="56" spans="1:9">
      <c r="A56" s="5">
        <v>44075</v>
      </c>
      <c r="B56" s="2">
        <v>105.048</v>
      </c>
      <c r="C56">
        <v>33</v>
      </c>
      <c r="D56">
        <f t="shared" si="0"/>
        <v>1.2471808315823938</v>
      </c>
      <c r="E56">
        <v>33</v>
      </c>
      <c r="F56">
        <v>33</v>
      </c>
      <c r="G56">
        <v>1.247180832</v>
      </c>
      <c r="H56">
        <v>1.1447481089</v>
      </c>
      <c r="I56" t="s">
        <v>41</v>
      </c>
    </row>
    <row r="57" spans="1:9">
      <c r="A57" s="5">
        <v>44105</v>
      </c>
      <c r="B57" s="2">
        <v>105.124</v>
      </c>
      <c r="C57">
        <v>34</v>
      </c>
      <c r="D57">
        <f t="shared" si="0"/>
        <v>1.11868873904637</v>
      </c>
      <c r="E57">
        <v>34</v>
      </c>
      <c r="F57">
        <v>34</v>
      </c>
      <c r="G57">
        <v>1.118688739</v>
      </c>
      <c r="H57">
        <v>1.2620479134</v>
      </c>
      <c r="I57" t="s">
        <v>42</v>
      </c>
    </row>
    <row r="58" spans="1:9">
      <c r="A58" s="6">
        <v>44136</v>
      </c>
      <c r="B58" s="2">
        <v>105.197</v>
      </c>
      <c r="C58" s="4">
        <v>35</v>
      </c>
      <c r="D58" s="4">
        <f t="shared" si="0"/>
        <v>1.1538794388299689</v>
      </c>
      <c r="E58">
        <v>35</v>
      </c>
      <c r="F58">
        <v>35</v>
      </c>
      <c r="G58">
        <v>1.153879439</v>
      </c>
      <c r="H58">
        <v>1.0193186811999999</v>
      </c>
      <c r="I58" t="s">
        <v>43</v>
      </c>
    </row>
    <row r="59" spans="1:9">
      <c r="A59" s="5">
        <v>44166</v>
      </c>
      <c r="B59" s="2">
        <v>105.70699999999999</v>
      </c>
      <c r="C59">
        <v>36</v>
      </c>
      <c r="D59">
        <f t="shared" si="0"/>
        <v>1.3664870255652914</v>
      </c>
      <c r="E59">
        <v>36</v>
      </c>
      <c r="F59">
        <v>36</v>
      </c>
      <c r="G59">
        <v>1.3664870259999999</v>
      </c>
      <c r="H59">
        <v>1.3830189502000001</v>
      </c>
      <c r="I59" t="s">
        <v>44</v>
      </c>
    </row>
    <row r="60" spans="1:9">
      <c r="A60" s="5">
        <v>44197</v>
      </c>
      <c r="B60" s="2">
        <v>106.145</v>
      </c>
      <c r="C60">
        <v>37</v>
      </c>
      <c r="D60">
        <f t="shared" si="0"/>
        <v>1.6150031591644467</v>
      </c>
      <c r="E60">
        <v>37</v>
      </c>
      <c r="F60">
        <v>37</v>
      </c>
      <c r="G60">
        <v>1.615003159</v>
      </c>
      <c r="H60">
        <v>1.7467192192000001</v>
      </c>
      <c r="I60" t="s">
        <v>45</v>
      </c>
    </row>
    <row r="61" spans="1:9">
      <c r="A61" s="5">
        <v>44228</v>
      </c>
      <c r="B61" s="2">
        <v>106.52200000000001</v>
      </c>
      <c r="C61">
        <v>38</v>
      </c>
      <c r="D61">
        <f t="shared" si="0"/>
        <v>1.8852043500301323</v>
      </c>
      <c r="E61">
        <v>38</v>
      </c>
      <c r="F61">
        <v>38</v>
      </c>
      <c r="G61">
        <v>1.88520435</v>
      </c>
      <c r="H61">
        <v>2.1104194881999998</v>
      </c>
      <c r="I61" t="s">
        <v>46</v>
      </c>
    </row>
    <row r="62" spans="1:9">
      <c r="A62" s="5">
        <v>44256</v>
      </c>
      <c r="B62" s="2">
        <v>107.066</v>
      </c>
      <c r="C62">
        <v>39</v>
      </c>
      <c r="D62">
        <f t="shared" si="0"/>
        <v>2.7130221224505489</v>
      </c>
      <c r="E62">
        <v>39</v>
      </c>
      <c r="F62">
        <v>39</v>
      </c>
      <c r="G62">
        <v>2.7130221219999999</v>
      </c>
      <c r="H62">
        <v>2.4741197572</v>
      </c>
      <c r="I62" t="s">
        <v>47</v>
      </c>
    </row>
    <row r="63" spans="1:9">
      <c r="A63" s="6">
        <v>44287</v>
      </c>
      <c r="B63" s="2">
        <v>107.66200000000001</v>
      </c>
      <c r="C63" s="4">
        <v>40</v>
      </c>
      <c r="D63" s="4">
        <f t="shared" si="0"/>
        <v>3.7246136652664839</v>
      </c>
      <c r="E63">
        <v>40</v>
      </c>
      <c r="F63">
        <v>40</v>
      </c>
      <c r="G63">
        <v>3.7246136650000001</v>
      </c>
      <c r="H63">
        <v>3.8702564268000001</v>
      </c>
      <c r="I63" t="s">
        <v>48</v>
      </c>
    </row>
    <row r="64" spans="1:9">
      <c r="A64" s="5">
        <v>44317</v>
      </c>
      <c r="B64" s="2">
        <v>108.20699999999999</v>
      </c>
      <c r="C64">
        <v>41</v>
      </c>
      <c r="D64">
        <f t="shared" si="0"/>
        <v>4.1553566272018418</v>
      </c>
      <c r="E64">
        <v>41</v>
      </c>
      <c r="F64">
        <v>41</v>
      </c>
      <c r="G64">
        <v>4.1553566269999997</v>
      </c>
      <c r="H64">
        <v>4.0712063672000003</v>
      </c>
      <c r="I64" t="s">
        <v>49</v>
      </c>
    </row>
    <row r="65" spans="1:9">
      <c r="A65" s="5">
        <v>44348</v>
      </c>
      <c r="B65" s="2">
        <v>108.755</v>
      </c>
      <c r="C65">
        <v>42</v>
      </c>
      <c r="D65">
        <f t="shared" si="0"/>
        <v>4.3724028061689628</v>
      </c>
      <c r="E65">
        <v>42</v>
      </c>
      <c r="F65">
        <v>42</v>
      </c>
      <c r="G65">
        <v>4.3724028060000002</v>
      </c>
      <c r="H65">
        <v>4.2721563076000004</v>
      </c>
      <c r="I65" t="s">
        <v>50</v>
      </c>
    </row>
    <row r="66" spans="1:9">
      <c r="A66" s="5">
        <v>44378</v>
      </c>
      <c r="B66" s="2">
        <v>109.28</v>
      </c>
      <c r="C66">
        <v>43</v>
      </c>
      <c r="D66">
        <f t="shared" si="0"/>
        <v>4.5331496733339112</v>
      </c>
      <c r="E66">
        <v>43</v>
      </c>
      <c r="F66">
        <v>43</v>
      </c>
      <c r="G66">
        <v>4.5331496729999996</v>
      </c>
      <c r="H66">
        <v>4.4731062479999997</v>
      </c>
      <c r="I66" t="s">
        <v>51</v>
      </c>
    </row>
    <row r="67" spans="1:9">
      <c r="A67" s="5">
        <v>44409</v>
      </c>
      <c r="B67" s="2">
        <v>109.74</v>
      </c>
      <c r="C67">
        <v>44</v>
      </c>
      <c r="D67">
        <f t="shared" si="0"/>
        <v>4.6448426131649914</v>
      </c>
      <c r="E67">
        <v>44</v>
      </c>
      <c r="F67">
        <v>44</v>
      </c>
      <c r="G67">
        <v>4.6448426129999998</v>
      </c>
      <c r="H67">
        <v>4.6740561884999998</v>
      </c>
      <c r="I67" t="s">
        <v>52</v>
      </c>
    </row>
    <row r="68" spans="1:9">
      <c r="A68" s="5">
        <v>44440</v>
      </c>
      <c r="B68" s="2">
        <v>110.096</v>
      </c>
      <c r="C68">
        <v>45</v>
      </c>
      <c r="D68">
        <f t="shared" si="0"/>
        <v>4.8054222831467532</v>
      </c>
      <c r="E68">
        <v>45</v>
      </c>
      <c r="F68">
        <v>45</v>
      </c>
      <c r="G68">
        <v>4.8054222830000004</v>
      </c>
      <c r="H68">
        <v>4.8750061289</v>
      </c>
      <c r="I68" t="s">
        <v>53</v>
      </c>
    </row>
    <row r="69" spans="1:9">
      <c r="A69" s="6">
        <v>44470</v>
      </c>
      <c r="B69" s="2">
        <v>110.80800000000001</v>
      </c>
      <c r="C69" s="4">
        <v>46</v>
      </c>
      <c r="D69" s="4">
        <f t="shared" si="0"/>
        <v>5.4069479852364948</v>
      </c>
      <c r="E69">
        <v>46</v>
      </c>
      <c r="F69">
        <v>46</v>
      </c>
      <c r="G69">
        <v>5.4069479850000004</v>
      </c>
      <c r="H69">
        <v>5.5590709274999996</v>
      </c>
      <c r="I69" t="s">
        <v>54</v>
      </c>
    </row>
    <row r="70" spans="1:9">
      <c r="A70" s="5">
        <v>44501</v>
      </c>
      <c r="B70" s="2">
        <v>111.494</v>
      </c>
      <c r="C70">
        <v>47</v>
      </c>
      <c r="D70">
        <f t="shared" si="0"/>
        <v>5.9859121457836224</v>
      </c>
      <c r="E70">
        <v>47</v>
      </c>
      <c r="F70">
        <v>47</v>
      </c>
      <c r="G70">
        <v>5.9859121460000004</v>
      </c>
      <c r="H70">
        <v>5.8227856459999998</v>
      </c>
      <c r="I70" t="s">
        <v>55</v>
      </c>
    </row>
    <row r="71" spans="1:9">
      <c r="A71" s="5">
        <v>44531</v>
      </c>
      <c r="B71" s="2">
        <v>112.24</v>
      </c>
      <c r="C71">
        <v>48</v>
      </c>
      <c r="D71">
        <f t="shared" si="0"/>
        <v>6.1802908038256712</v>
      </c>
      <c r="E71">
        <v>48</v>
      </c>
      <c r="F71">
        <v>48</v>
      </c>
      <c r="G71">
        <v>6.1802908040000002</v>
      </c>
      <c r="H71">
        <v>6.0865003644</v>
      </c>
      <c r="I71" t="s">
        <v>56</v>
      </c>
    </row>
    <row r="72" spans="1:9">
      <c r="A72" s="5">
        <v>44562</v>
      </c>
      <c r="B72" s="2">
        <v>112.82899999999999</v>
      </c>
      <c r="C72">
        <v>49</v>
      </c>
      <c r="D72">
        <f t="shared" si="0"/>
        <v>6.2970464930048493</v>
      </c>
      <c r="E72">
        <v>49</v>
      </c>
      <c r="F72">
        <v>49</v>
      </c>
      <c r="G72">
        <v>6.2970464929999999</v>
      </c>
      <c r="H72">
        <v>6.3502150829000001</v>
      </c>
      <c r="I72" t="s">
        <v>112</v>
      </c>
    </row>
    <row r="73" spans="1:9">
      <c r="A73" s="5">
        <v>44593</v>
      </c>
      <c r="B73" s="2">
        <v>113.496</v>
      </c>
      <c r="C73">
        <v>50</v>
      </c>
      <c r="D73">
        <f t="shared" si="0"/>
        <v>6.5470043746831541</v>
      </c>
      <c r="E73">
        <v>50</v>
      </c>
      <c r="F73">
        <v>50</v>
      </c>
      <c r="G73">
        <v>6.5470043750000002</v>
      </c>
      <c r="H73">
        <v>6.6139298014000003</v>
      </c>
      <c r="I73" t="s">
        <v>113</v>
      </c>
    </row>
    <row r="74" spans="1:9">
      <c r="A74" s="5">
        <v>44621</v>
      </c>
      <c r="B74" s="2">
        <v>114.446</v>
      </c>
      <c r="C74">
        <v>51</v>
      </c>
      <c r="D74">
        <f t="shared" si="0"/>
        <v>6.8929445388825537</v>
      </c>
      <c r="E74">
        <v>51</v>
      </c>
      <c r="F74">
        <v>51</v>
      </c>
      <c r="G74">
        <v>6.8929445390000001</v>
      </c>
      <c r="H74">
        <v>6.8776445197999996</v>
      </c>
      <c r="I74" t="s">
        <v>114</v>
      </c>
    </row>
    <row r="75" spans="1:9">
      <c r="A75" s="6">
        <v>44652</v>
      </c>
      <c r="B75" s="2">
        <v>114.789</v>
      </c>
      <c r="C75" s="4">
        <v>52</v>
      </c>
      <c r="D75" s="4">
        <f t="shared" si="0"/>
        <v>6.619791569913243</v>
      </c>
      <c r="E75">
        <v>52</v>
      </c>
      <c r="F75">
        <v>52</v>
      </c>
      <c r="G75">
        <v>6.6197915700000003</v>
      </c>
      <c r="H75">
        <v>7.3716080948</v>
      </c>
      <c r="I75" t="s">
        <v>115</v>
      </c>
    </row>
    <row r="76" spans="1:9">
      <c r="A76" s="5">
        <v>44682</v>
      </c>
      <c r="B76" s="2">
        <v>115.446</v>
      </c>
      <c r="C76">
        <v>53</v>
      </c>
      <c r="D76">
        <f t="shared" si="0"/>
        <v>6.6899553633313973</v>
      </c>
      <c r="E76">
        <v>53</v>
      </c>
      <c r="F76">
        <v>53</v>
      </c>
      <c r="G76">
        <v>6.6899553630000002</v>
      </c>
      <c r="H76">
        <v>7.1228353787999996</v>
      </c>
      <c r="I76" t="s">
        <v>116</v>
      </c>
    </row>
    <row r="77" spans="1:9">
      <c r="A77" s="5">
        <v>44713</v>
      </c>
      <c r="B77" s="2">
        <v>116.495</v>
      </c>
      <c r="C77">
        <v>54</v>
      </c>
      <c r="D77">
        <f t="shared" si="0"/>
        <v>7.1169141648659915</v>
      </c>
      <c r="E77">
        <v>54</v>
      </c>
      <c r="F77">
        <v>54</v>
      </c>
      <c r="G77">
        <v>7.1169141649999998</v>
      </c>
      <c r="H77">
        <v>6.8740626629000001</v>
      </c>
    </row>
    <row r="78" spans="1:9">
      <c r="A78" s="5">
        <v>44743</v>
      </c>
      <c r="B78" s="2">
        <v>116.511</v>
      </c>
      <c r="C78">
        <v>55</v>
      </c>
      <c r="D78">
        <f t="shared" si="0"/>
        <v>6.616947291361635</v>
      </c>
      <c r="E78">
        <v>55</v>
      </c>
      <c r="F78">
        <v>55</v>
      </c>
      <c r="G78">
        <v>6.6169472909999998</v>
      </c>
      <c r="H78">
        <v>6.6252899468999997</v>
      </c>
    </row>
    <row r="79" spans="1:9">
      <c r="A79" s="5">
        <v>44774</v>
      </c>
      <c r="B79" s="2">
        <v>116.89</v>
      </c>
      <c r="C79">
        <v>56</v>
      </c>
      <c r="D79">
        <f t="shared" si="0"/>
        <v>6.5154000364497957</v>
      </c>
      <c r="E79">
        <v>56</v>
      </c>
      <c r="F79">
        <v>56</v>
      </c>
      <c r="G79">
        <v>6.515400036</v>
      </c>
      <c r="H79">
        <v>6.3765172309000002</v>
      </c>
    </row>
    <row r="80" spans="1:9">
      <c r="A80" s="5">
        <v>44805</v>
      </c>
      <c r="B80" s="2">
        <v>117.31399999999999</v>
      </c>
      <c r="C80">
        <v>57</v>
      </c>
      <c r="D80">
        <f t="shared" si="0"/>
        <v>6.5560964976020832</v>
      </c>
      <c r="E80">
        <v>57</v>
      </c>
      <c r="F80">
        <v>57</v>
      </c>
      <c r="G80">
        <v>6.5560964979999996</v>
      </c>
      <c r="H80">
        <v>6.1277445149999998</v>
      </c>
    </row>
    <row r="81" spans="1:8">
      <c r="A81" s="5">
        <v>44835</v>
      </c>
      <c r="B81" s="2">
        <v>117.842</v>
      </c>
      <c r="C81">
        <v>58</v>
      </c>
      <c r="D81">
        <f t="shared" si="0"/>
        <v>6.3479171178976168</v>
      </c>
      <c r="E81">
        <v>58</v>
      </c>
      <c r="F81">
        <v>58</v>
      </c>
      <c r="G81">
        <v>6.3479171179999998</v>
      </c>
      <c r="H81">
        <v>5.8789717990000003</v>
      </c>
    </row>
    <row r="82" spans="1:8">
      <c r="A82" s="5">
        <v>44866</v>
      </c>
      <c r="B82" s="2">
        <v>118.104</v>
      </c>
      <c r="C82">
        <v>59</v>
      </c>
      <c r="D82">
        <f t="shared" si="0"/>
        <v>5.9285701472724988</v>
      </c>
      <c r="E82">
        <v>59</v>
      </c>
      <c r="F82">
        <v>59</v>
      </c>
      <c r="G82">
        <v>5.9285701470000003</v>
      </c>
      <c r="H82">
        <v>5.6301990830999999</v>
      </c>
    </row>
    <row r="83" spans="1:8">
      <c r="A83" s="5">
        <v>44896</v>
      </c>
      <c r="B83" s="2">
        <v>118.348</v>
      </c>
      <c r="C83">
        <v>60</v>
      </c>
      <c r="D83">
        <f t="shared" si="0"/>
        <v>5.441910192444765</v>
      </c>
      <c r="E83">
        <v>60</v>
      </c>
      <c r="F83">
        <v>60</v>
      </c>
      <c r="G83">
        <v>5.4419101919999999</v>
      </c>
      <c r="H83">
        <v>5.3814263671000004</v>
      </c>
    </row>
    <row r="84" spans="1:8">
      <c r="A84" s="5">
        <v>44927</v>
      </c>
      <c r="B84" s="2">
        <v>119.011</v>
      </c>
      <c r="C84">
        <v>61</v>
      </c>
      <c r="D84">
        <f t="shared" si="0"/>
        <v>5.4790878231660329</v>
      </c>
      <c r="E84">
        <v>61</v>
      </c>
      <c r="F84">
        <v>61</v>
      </c>
      <c r="G84">
        <v>5.4790878230000004</v>
      </c>
      <c r="H84">
        <v>5.1326536511</v>
      </c>
    </row>
    <row r="85" spans="1:8">
      <c r="A85" s="5">
        <v>44958</v>
      </c>
      <c r="B85" s="2">
        <v>119.386</v>
      </c>
      <c r="C85">
        <v>62</v>
      </c>
      <c r="D85">
        <f t="shared" si="0"/>
        <v>5.1896102065271021</v>
      </c>
      <c r="E85">
        <v>62</v>
      </c>
      <c r="F85">
        <v>62</v>
      </c>
      <c r="G85">
        <v>5.1896102070000003</v>
      </c>
      <c r="H85">
        <v>4.8838809351999997</v>
      </c>
    </row>
    <row r="86" spans="1:8">
      <c r="A86" s="5">
        <v>44986</v>
      </c>
      <c r="B86" s="2">
        <v>119.53</v>
      </c>
      <c r="C86">
        <v>63</v>
      </c>
      <c r="D86">
        <f t="shared" si="0"/>
        <v>4.4422697167222998</v>
      </c>
      <c r="E86">
        <v>63</v>
      </c>
      <c r="F86">
        <v>63</v>
      </c>
      <c r="G86">
        <v>4.4422697170000003</v>
      </c>
      <c r="H86">
        <v>4.6351082192000002</v>
      </c>
    </row>
    <row r="87" spans="1:8">
      <c r="A87" s="5">
        <v>45017</v>
      </c>
      <c r="B87" s="2">
        <v>119.893</v>
      </c>
      <c r="C87">
        <v>64</v>
      </c>
      <c r="D87">
        <f t="shared" si="0"/>
        <v>4.4464190819677833</v>
      </c>
      <c r="E87">
        <v>64</v>
      </c>
      <c r="F87">
        <v>64</v>
      </c>
      <c r="G87">
        <v>4.4464190820000002</v>
      </c>
      <c r="H87">
        <v>4.3863355031999998</v>
      </c>
    </row>
    <row r="88" spans="1:8">
      <c r="A88" s="5">
        <v>45047</v>
      </c>
      <c r="B88" s="2">
        <v>120.02</v>
      </c>
      <c r="C88">
        <v>65</v>
      </c>
      <c r="D88">
        <f t="shared" si="0"/>
        <v>3.9620255357483138</v>
      </c>
      <c r="E88">
        <v>65</v>
      </c>
      <c r="F88">
        <v>65</v>
      </c>
      <c r="G88">
        <v>3.9620255360000001</v>
      </c>
      <c r="H88">
        <v>4.1375627873000003</v>
      </c>
    </row>
    <row r="89" spans="1:8">
      <c r="A89" s="5">
        <v>45078</v>
      </c>
      <c r="B89" s="2">
        <v>120.221</v>
      </c>
      <c r="C89">
        <v>66</v>
      </c>
      <c r="D89">
        <f t="shared" ref="D89:D94" si="1">100*(B89-B77)/B77</f>
        <v>3.1984205330700881</v>
      </c>
      <c r="E89">
        <v>66</v>
      </c>
      <c r="F89">
        <v>66</v>
      </c>
      <c r="G89">
        <v>3.1984205330000002</v>
      </c>
      <c r="H89">
        <v>3.8887900712999999</v>
      </c>
    </row>
    <row r="90" spans="1:8">
      <c r="A90" s="5">
        <v>45108</v>
      </c>
      <c r="B90" s="2">
        <v>120.373</v>
      </c>
      <c r="C90">
        <v>67</v>
      </c>
      <c r="D90">
        <f t="shared" si="1"/>
        <v>3.3147084824608912</v>
      </c>
      <c r="E90">
        <v>67</v>
      </c>
      <c r="F90">
        <v>67</v>
      </c>
      <c r="G90">
        <v>3.3147084819999999</v>
      </c>
      <c r="H90">
        <v>3.6400173553999999</v>
      </c>
    </row>
    <row r="91" spans="1:8">
      <c r="A91" s="5">
        <v>45139</v>
      </c>
      <c r="B91" s="2">
        <v>120.803</v>
      </c>
      <c r="C91">
        <v>68</v>
      </c>
      <c r="D91">
        <f t="shared" si="1"/>
        <v>3.3475917529301022</v>
      </c>
      <c r="E91">
        <v>68</v>
      </c>
      <c r="F91">
        <v>68</v>
      </c>
      <c r="G91">
        <v>3.3475917530000001</v>
      </c>
      <c r="H91">
        <v>3.3912446394</v>
      </c>
    </row>
    <row r="92" spans="1:8">
      <c r="A92" s="5">
        <v>45170</v>
      </c>
      <c r="B92" s="2">
        <v>121.267</v>
      </c>
      <c r="C92">
        <v>69</v>
      </c>
      <c r="D92">
        <f t="shared" si="1"/>
        <v>3.369589307329051</v>
      </c>
      <c r="E92">
        <v>69</v>
      </c>
      <c r="F92">
        <v>69</v>
      </c>
      <c r="G92">
        <v>3.369589307</v>
      </c>
      <c r="H92">
        <v>3.1424719234</v>
      </c>
    </row>
    <row r="93" spans="1:8">
      <c r="A93" s="5">
        <v>45200</v>
      </c>
      <c r="B93" s="2">
        <v>121.309</v>
      </c>
      <c r="C93">
        <v>70</v>
      </c>
      <c r="D93">
        <f t="shared" si="1"/>
        <v>2.9420749817552307</v>
      </c>
      <c r="E93">
        <v>70</v>
      </c>
      <c r="F93">
        <v>70</v>
      </c>
      <c r="G93">
        <v>2.9420749819999998</v>
      </c>
      <c r="H93">
        <v>2.8936992075000001</v>
      </c>
    </row>
    <row r="94" spans="1:8">
      <c r="A94" s="5">
        <v>45231</v>
      </c>
      <c r="B94" s="2">
        <v>121.22199999999999</v>
      </c>
      <c r="C94">
        <v>71</v>
      </c>
      <c r="D94">
        <f t="shared" si="1"/>
        <v>2.6400460610986887</v>
      </c>
      <c r="E94">
        <v>71</v>
      </c>
      <c r="F94">
        <v>71</v>
      </c>
      <c r="G94">
        <v>2.6400460610000001</v>
      </c>
      <c r="H94">
        <v>2.6449264915000001</v>
      </c>
    </row>
  </sheetData>
  <phoneticPr fontId="2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3"/>
  <sheetViews>
    <sheetView topLeftCell="A66" workbookViewId="0">
      <selection activeCell="C23" sqref="C23:H23"/>
    </sheetView>
  </sheetViews>
  <sheetFormatPr defaultColWidth="20.6640625" defaultRowHeight="13.2"/>
  <cols>
    <col min="1" max="1" width="12.109375" customWidth="1"/>
    <col min="2" max="2" width="9.33203125" customWidth="1"/>
    <col min="3" max="3" width="3.5546875" bestFit="1" customWidth="1"/>
    <col min="4" max="4" width="12.77734375" bestFit="1" customWidth="1"/>
    <col min="5" max="6" width="3.5546875" bestFit="1" customWidth="1"/>
    <col min="7" max="8" width="12.7773437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8" spans="1:2">
      <c r="A8" t="s">
        <v>6</v>
      </c>
      <c r="B8" t="s">
        <v>7</v>
      </c>
    </row>
    <row r="10" spans="1:2">
      <c r="A10" t="s">
        <v>8</v>
      </c>
    </row>
    <row r="11" spans="1:2">
      <c r="A11" t="s">
        <v>9</v>
      </c>
      <c r="B11" t="s">
        <v>6</v>
      </c>
    </row>
    <row r="12" spans="1:2">
      <c r="A12" s="1">
        <v>42736</v>
      </c>
      <c r="B12" s="2">
        <v>99.450999999999993</v>
      </c>
    </row>
    <row r="13" spans="1:2">
      <c r="A13" s="1">
        <v>42767</v>
      </c>
      <c r="B13" s="2">
        <v>99.585999999999999</v>
      </c>
    </row>
    <row r="14" spans="1:2">
      <c r="A14" s="1">
        <v>42795</v>
      </c>
      <c r="B14" s="2">
        <v>99.534999999999997</v>
      </c>
    </row>
    <row r="15" spans="1:2">
      <c r="A15" s="1">
        <v>42826</v>
      </c>
      <c r="B15" s="2">
        <v>99.724999999999994</v>
      </c>
    </row>
    <row r="16" spans="1:2">
      <c r="A16" s="1">
        <v>42856</v>
      </c>
      <c r="B16" s="2">
        <v>99.682000000000002</v>
      </c>
    </row>
    <row r="17" spans="1:9">
      <c r="A17" s="1">
        <v>42887</v>
      </c>
      <c r="B17" s="2">
        <v>99.766000000000005</v>
      </c>
    </row>
    <row r="18" spans="1:9">
      <c r="A18" s="1">
        <v>42917</v>
      </c>
      <c r="B18" s="2">
        <v>99.802999999999997</v>
      </c>
    </row>
    <row r="19" spans="1:9">
      <c r="A19" s="1">
        <v>42948</v>
      </c>
      <c r="B19" s="2">
        <v>100.027</v>
      </c>
    </row>
    <row r="20" spans="1:9">
      <c r="A20" s="1">
        <v>42979</v>
      </c>
      <c r="B20" s="2">
        <v>100.4</v>
      </c>
    </row>
    <row r="21" spans="1:9">
      <c r="A21" s="1">
        <v>43009</v>
      </c>
      <c r="B21" s="2">
        <v>100.53100000000001</v>
      </c>
    </row>
    <row r="22" spans="1:9">
      <c r="A22" s="1">
        <v>43040</v>
      </c>
      <c r="B22" s="2">
        <v>100.675</v>
      </c>
    </row>
    <row r="23" spans="1:9" ht="13.8">
      <c r="A23" s="1">
        <v>43070</v>
      </c>
      <c r="B23" s="2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5">
        <v>43101</v>
      </c>
      <c r="B24" s="2">
        <v>101.199</v>
      </c>
      <c r="C24">
        <v>1</v>
      </c>
      <c r="D24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10</v>
      </c>
    </row>
    <row r="25" spans="1:9">
      <c r="A25" s="5">
        <v>43132</v>
      </c>
      <c r="B25" s="2">
        <v>101.416</v>
      </c>
      <c r="C25">
        <v>2</v>
      </c>
      <c r="D25">
        <f t="shared" ref="D25:D88" si="0"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117</v>
      </c>
    </row>
    <row r="26" spans="1:9">
      <c r="A26" s="5">
        <v>43160</v>
      </c>
      <c r="B26" s="2">
        <v>101.524</v>
      </c>
      <c r="C26">
        <v>3</v>
      </c>
      <c r="D26">
        <f t="shared" si="0"/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5">
        <v>43191</v>
      </c>
      <c r="B27" s="2">
        <v>101.76600000000001</v>
      </c>
      <c r="C27">
        <v>4</v>
      </c>
      <c r="D27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5">
        <v>43221</v>
      </c>
      <c r="B28" s="2">
        <v>101.941</v>
      </c>
      <c r="C28">
        <v>5</v>
      </c>
      <c r="D28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6">
        <v>43252</v>
      </c>
      <c r="B29" s="3">
        <v>102.029</v>
      </c>
      <c r="C29" s="4">
        <v>6</v>
      </c>
      <c r="D29" s="4">
        <f t="shared" si="0"/>
        <v>2.2683078403464014</v>
      </c>
      <c r="E29" s="4">
        <v>6</v>
      </c>
      <c r="F29" s="4">
        <v>6</v>
      </c>
      <c r="G29" s="4">
        <v>2.2683078399999999</v>
      </c>
      <c r="H29" s="4">
        <v>2.3222375461999998</v>
      </c>
      <c r="I29" t="s">
        <v>15</v>
      </c>
    </row>
    <row r="30" spans="1:9">
      <c r="A30" s="5">
        <v>43282</v>
      </c>
      <c r="B30" s="2">
        <v>102.137</v>
      </c>
      <c r="C30">
        <v>7</v>
      </c>
      <c r="D30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5">
        <v>43313</v>
      </c>
      <c r="B31" s="2">
        <v>102.208</v>
      </c>
      <c r="C31">
        <v>8</v>
      </c>
      <c r="D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5">
        <v>43344</v>
      </c>
      <c r="B32" s="2">
        <v>102.41800000000001</v>
      </c>
      <c r="C32">
        <v>9</v>
      </c>
      <c r="D32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5">
        <v>43374</v>
      </c>
      <c r="B33" s="2">
        <v>102.595</v>
      </c>
      <c r="C33">
        <v>10</v>
      </c>
      <c r="D33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5">
        <v>43405</v>
      </c>
      <c r="B34" s="2">
        <v>102.63</v>
      </c>
      <c r="C34">
        <v>11</v>
      </c>
      <c r="D34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5">
        <v>43435</v>
      </c>
      <c r="B35" s="2">
        <v>102.70099999999999</v>
      </c>
      <c r="C35">
        <v>12</v>
      </c>
      <c r="D35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6">
        <v>43466</v>
      </c>
      <c r="B36" s="3">
        <v>102.714</v>
      </c>
      <c r="C36" s="4">
        <v>13</v>
      </c>
      <c r="D36" s="4">
        <f t="shared" si="0"/>
        <v>1.4970503661103376</v>
      </c>
      <c r="E36" s="4">
        <v>13</v>
      </c>
      <c r="F36" s="4">
        <v>13</v>
      </c>
      <c r="G36" s="4">
        <v>1.4970503660000001</v>
      </c>
      <c r="H36" s="4">
        <v>1.5253491168</v>
      </c>
      <c r="I36" t="s">
        <v>21</v>
      </c>
    </row>
    <row r="37" spans="1:9">
      <c r="A37" s="5">
        <v>43497</v>
      </c>
      <c r="B37" s="2">
        <v>102.86199999999999</v>
      </c>
      <c r="C37">
        <v>14</v>
      </c>
      <c r="D37">
        <f t="shared" si="0"/>
        <v>1.4258105229943974</v>
      </c>
      <c r="E37">
        <v>14</v>
      </c>
      <c r="F37">
        <v>14</v>
      </c>
      <c r="G37">
        <v>1.425810523</v>
      </c>
      <c r="H37">
        <v>1.5058576435</v>
      </c>
      <c r="I37" t="s">
        <v>22</v>
      </c>
    </row>
    <row r="38" spans="1:9">
      <c r="A38" s="5">
        <v>43525</v>
      </c>
      <c r="B38" s="2">
        <v>103.056</v>
      </c>
      <c r="C38">
        <v>15</v>
      </c>
      <c r="D38">
        <f t="shared" si="0"/>
        <v>1.5090027973681066</v>
      </c>
      <c r="E38">
        <v>15</v>
      </c>
      <c r="F38">
        <v>15</v>
      </c>
      <c r="G38">
        <v>1.509002797</v>
      </c>
      <c r="H38">
        <v>1.4863661703</v>
      </c>
      <c r="I38" t="s">
        <v>23</v>
      </c>
    </row>
    <row r="39" spans="1:9">
      <c r="A39" s="5">
        <v>43556</v>
      </c>
      <c r="B39" s="2">
        <v>103.371</v>
      </c>
      <c r="C39">
        <v>16</v>
      </c>
      <c r="D39">
        <f t="shared" si="0"/>
        <v>1.5771475738458716</v>
      </c>
      <c r="E39">
        <v>16</v>
      </c>
      <c r="F39">
        <v>16</v>
      </c>
      <c r="G39">
        <v>1.5771475740000001</v>
      </c>
      <c r="H39">
        <v>1.4668746969999999</v>
      </c>
      <c r="I39" t="s">
        <v>24</v>
      </c>
    </row>
    <row r="40" spans="1:9">
      <c r="A40" s="5">
        <v>43586</v>
      </c>
      <c r="B40" s="2">
        <v>103.426</v>
      </c>
      <c r="C40">
        <v>17</v>
      </c>
      <c r="D40">
        <f t="shared" si="0"/>
        <v>1.4567249683640531</v>
      </c>
      <c r="E40">
        <v>17</v>
      </c>
      <c r="F40">
        <v>17</v>
      </c>
      <c r="G40">
        <v>1.4567249680000001</v>
      </c>
      <c r="H40">
        <v>1.4473832236999999</v>
      </c>
      <c r="I40" t="s">
        <v>25</v>
      </c>
    </row>
    <row r="41" spans="1:9">
      <c r="A41" s="5">
        <v>43617</v>
      </c>
      <c r="B41" s="2">
        <v>103.46899999999999</v>
      </c>
      <c r="C41">
        <v>18</v>
      </c>
      <c r="D41">
        <f t="shared" si="0"/>
        <v>1.4113634358858733</v>
      </c>
      <c r="E41">
        <v>18</v>
      </c>
      <c r="F41">
        <v>18</v>
      </c>
      <c r="G41">
        <v>1.411363436</v>
      </c>
      <c r="H41">
        <v>1.4278917504999999</v>
      </c>
      <c r="I41" t="s">
        <v>26</v>
      </c>
    </row>
    <row r="42" spans="1:9">
      <c r="A42" s="5">
        <v>43647</v>
      </c>
      <c r="B42" s="2">
        <v>103.608</v>
      </c>
      <c r="C42">
        <v>19</v>
      </c>
      <c r="D42">
        <f t="shared" si="0"/>
        <v>1.4402224463221003</v>
      </c>
      <c r="E42">
        <v>19</v>
      </c>
      <c r="F42">
        <v>19</v>
      </c>
      <c r="G42">
        <v>1.4402224459999999</v>
      </c>
      <c r="H42">
        <v>1.4084002771999999</v>
      </c>
      <c r="I42" t="s">
        <v>27</v>
      </c>
    </row>
    <row r="43" spans="1:9">
      <c r="A43" s="5">
        <v>43678</v>
      </c>
      <c r="B43" s="2">
        <v>103.661</v>
      </c>
      <c r="C43">
        <v>20</v>
      </c>
      <c r="D43">
        <f t="shared" si="0"/>
        <v>1.4216108328115244</v>
      </c>
      <c r="E43">
        <v>20</v>
      </c>
      <c r="F43">
        <v>20</v>
      </c>
      <c r="G43">
        <v>1.4216108329999999</v>
      </c>
      <c r="H43">
        <v>1.3889088038999999</v>
      </c>
      <c r="I43" t="s">
        <v>28</v>
      </c>
    </row>
    <row r="44" spans="1:9">
      <c r="A44" s="5">
        <v>43709</v>
      </c>
      <c r="B44" s="2">
        <v>103.754</v>
      </c>
      <c r="C44">
        <v>21</v>
      </c>
      <c r="D44">
        <f t="shared" si="0"/>
        <v>1.3044582007069054</v>
      </c>
      <c r="E44">
        <v>21</v>
      </c>
      <c r="F44">
        <v>21</v>
      </c>
      <c r="G44">
        <v>1.3044582010000001</v>
      </c>
      <c r="H44">
        <v>1.3694173305999999</v>
      </c>
      <c r="I44" t="s">
        <v>29</v>
      </c>
    </row>
    <row r="45" spans="1:9">
      <c r="A45" s="5">
        <v>43739</v>
      </c>
      <c r="B45" s="2">
        <v>103.961</v>
      </c>
      <c r="C45">
        <v>22</v>
      </c>
      <c r="D45">
        <f t="shared" si="0"/>
        <v>1.3314489010185679</v>
      </c>
      <c r="E45">
        <v>22</v>
      </c>
      <c r="F45">
        <v>22</v>
      </c>
      <c r="G45">
        <v>1.3314489009999999</v>
      </c>
      <c r="H45">
        <v>1.3499258573999999</v>
      </c>
      <c r="I45" t="s">
        <v>30</v>
      </c>
    </row>
    <row r="46" spans="1:9">
      <c r="A46" s="5">
        <v>43770</v>
      </c>
      <c r="B46" s="2">
        <v>103.997</v>
      </c>
      <c r="C46">
        <v>23</v>
      </c>
      <c r="D46">
        <f t="shared" si="0"/>
        <v>1.3319692097827189</v>
      </c>
      <c r="E46">
        <v>23</v>
      </c>
      <c r="F46">
        <v>23</v>
      </c>
      <c r="G46">
        <v>1.33196921</v>
      </c>
      <c r="H46">
        <v>1.3304343840999999</v>
      </c>
      <c r="I46" t="s">
        <v>31</v>
      </c>
    </row>
    <row r="47" spans="1:9">
      <c r="A47" s="6">
        <v>43800</v>
      </c>
      <c r="B47" s="3">
        <v>104.282</v>
      </c>
      <c r="C47" s="4">
        <v>24</v>
      </c>
      <c r="D47" s="4">
        <f t="shared" si="0"/>
        <v>1.5394202588095571</v>
      </c>
      <c r="E47" s="4">
        <v>24</v>
      </c>
      <c r="F47" s="4">
        <v>24</v>
      </c>
      <c r="G47" s="4">
        <v>1.5394202589999999</v>
      </c>
      <c r="H47" s="4">
        <v>1.8483446670999999</v>
      </c>
      <c r="I47" t="s">
        <v>32</v>
      </c>
    </row>
    <row r="48" spans="1:9">
      <c r="A48" s="5">
        <v>43831</v>
      </c>
      <c r="B48" s="2">
        <v>104.458</v>
      </c>
      <c r="C48">
        <v>25</v>
      </c>
      <c r="D48">
        <f t="shared" si="0"/>
        <v>1.6979184921237609</v>
      </c>
      <c r="E48">
        <v>25</v>
      </c>
      <c r="F48">
        <v>25</v>
      </c>
      <c r="G48">
        <v>1.6979184919999999</v>
      </c>
      <c r="H48">
        <v>1.5680777449000001</v>
      </c>
      <c r="I48" t="s">
        <v>33</v>
      </c>
    </row>
    <row r="49" spans="1:9">
      <c r="A49" s="5">
        <v>43862</v>
      </c>
      <c r="B49" s="2">
        <v>104.551</v>
      </c>
      <c r="C49">
        <v>26</v>
      </c>
      <c r="D49">
        <f t="shared" si="0"/>
        <v>1.6420057941708379</v>
      </c>
      <c r="E49">
        <v>26</v>
      </c>
      <c r="F49">
        <v>26</v>
      </c>
      <c r="G49">
        <v>1.6420057939999999</v>
      </c>
      <c r="H49">
        <v>1.2878108226</v>
      </c>
      <c r="I49" t="s">
        <v>34</v>
      </c>
    </row>
    <row r="50" spans="1:9">
      <c r="A50" s="5">
        <v>43891</v>
      </c>
      <c r="B50" s="2">
        <v>104.238</v>
      </c>
      <c r="C50">
        <v>27</v>
      </c>
      <c r="D50">
        <f t="shared" si="0"/>
        <v>1.1469492314857963</v>
      </c>
      <c r="E50">
        <v>27</v>
      </c>
      <c r="F50">
        <v>27</v>
      </c>
      <c r="G50">
        <v>1.146949231</v>
      </c>
      <c r="H50">
        <v>1.0075439004</v>
      </c>
      <c r="I50" t="s">
        <v>35</v>
      </c>
    </row>
    <row r="51" spans="1:9">
      <c r="A51" s="5">
        <v>43922</v>
      </c>
      <c r="B51" s="2">
        <v>103.79600000000001</v>
      </c>
      <c r="C51">
        <v>28</v>
      </c>
      <c r="D51">
        <f t="shared" si="0"/>
        <v>0.41114045525341864</v>
      </c>
      <c r="E51">
        <v>28</v>
      </c>
      <c r="F51">
        <v>28</v>
      </c>
      <c r="G51">
        <v>0.41114045500000002</v>
      </c>
      <c r="H51">
        <v>0.72727697810000003</v>
      </c>
      <c r="I51" t="s">
        <v>36</v>
      </c>
    </row>
    <row r="52" spans="1:9">
      <c r="A52" s="5">
        <v>43952</v>
      </c>
      <c r="B52" s="2">
        <v>103.89</v>
      </c>
      <c r="C52">
        <v>29</v>
      </c>
      <c r="D52">
        <f t="shared" si="0"/>
        <v>0.44862993831338216</v>
      </c>
      <c r="E52">
        <v>29</v>
      </c>
      <c r="F52">
        <v>29</v>
      </c>
      <c r="G52">
        <v>0.44862993800000001</v>
      </c>
      <c r="H52">
        <v>0.44701005589999998</v>
      </c>
      <c r="I52" t="s">
        <v>37</v>
      </c>
    </row>
    <row r="53" spans="1:9">
      <c r="A53" s="6">
        <v>43983</v>
      </c>
      <c r="B53" s="3">
        <v>104.199</v>
      </c>
      <c r="C53" s="4">
        <v>30</v>
      </c>
      <c r="D53" s="4">
        <f t="shared" si="0"/>
        <v>0.70552532642627652</v>
      </c>
      <c r="E53" s="4">
        <v>30</v>
      </c>
      <c r="F53" s="4">
        <v>30</v>
      </c>
      <c r="G53" s="4">
        <v>0.70552532599999995</v>
      </c>
      <c r="H53" s="4">
        <v>0.79284869540000003</v>
      </c>
      <c r="I53" t="s">
        <v>38</v>
      </c>
    </row>
    <row r="54" spans="1:9">
      <c r="A54" s="5">
        <v>44013</v>
      </c>
      <c r="B54" s="2">
        <v>104.541</v>
      </c>
      <c r="C54">
        <v>31</v>
      </c>
      <c r="D54">
        <f t="shared" si="0"/>
        <v>0.90050961315727807</v>
      </c>
      <c r="E54">
        <v>31</v>
      </c>
      <c r="F54">
        <v>31</v>
      </c>
      <c r="G54">
        <v>0.90050961299999999</v>
      </c>
      <c r="H54">
        <v>0.91014849990000002</v>
      </c>
      <c r="I54" t="s">
        <v>39</v>
      </c>
    </row>
    <row r="55" spans="1:9">
      <c r="A55" s="5">
        <v>44044</v>
      </c>
      <c r="B55" s="2">
        <v>104.869</v>
      </c>
      <c r="C55">
        <v>32</v>
      </c>
      <c r="D55">
        <f t="shared" si="0"/>
        <v>1.1653370119910076</v>
      </c>
      <c r="E55">
        <v>32</v>
      </c>
      <c r="F55">
        <v>32</v>
      </c>
      <c r="G55">
        <v>1.1653370119999999</v>
      </c>
      <c r="H55">
        <v>1.0274483044</v>
      </c>
      <c r="I55" t="s">
        <v>40</v>
      </c>
    </row>
    <row r="56" spans="1:9">
      <c r="A56" s="5">
        <v>44075</v>
      </c>
      <c r="B56" s="2">
        <v>105.048</v>
      </c>
      <c r="C56">
        <v>33</v>
      </c>
      <c r="D56">
        <f t="shared" si="0"/>
        <v>1.2471808315823938</v>
      </c>
      <c r="E56">
        <v>33</v>
      </c>
      <c r="F56">
        <v>33</v>
      </c>
      <c r="G56">
        <v>1.247180832</v>
      </c>
      <c r="H56">
        <v>1.1447481089</v>
      </c>
      <c r="I56" t="s">
        <v>41</v>
      </c>
    </row>
    <row r="57" spans="1:9">
      <c r="A57" s="5">
        <v>44105</v>
      </c>
      <c r="B57" s="2">
        <v>105.124</v>
      </c>
      <c r="C57">
        <v>34</v>
      </c>
      <c r="D57">
        <f t="shared" si="0"/>
        <v>1.11868873904637</v>
      </c>
      <c r="E57">
        <v>34</v>
      </c>
      <c r="F57">
        <v>34</v>
      </c>
      <c r="G57">
        <v>1.118688739</v>
      </c>
      <c r="H57">
        <v>1.2620479134</v>
      </c>
      <c r="I57" t="s">
        <v>42</v>
      </c>
    </row>
    <row r="58" spans="1:9">
      <c r="A58" s="6">
        <v>44136</v>
      </c>
      <c r="B58" s="3">
        <v>105.197</v>
      </c>
      <c r="C58" s="4">
        <v>35</v>
      </c>
      <c r="D58" s="4">
        <f t="shared" si="0"/>
        <v>1.1538794388299689</v>
      </c>
      <c r="E58" s="4">
        <v>35</v>
      </c>
      <c r="F58" s="4">
        <v>35</v>
      </c>
      <c r="G58" s="4">
        <v>1.153879439</v>
      </c>
      <c r="H58" s="4">
        <v>1.0193186811999999</v>
      </c>
      <c r="I58" t="s">
        <v>43</v>
      </c>
    </row>
    <row r="59" spans="1:9">
      <c r="A59" s="5">
        <v>44166</v>
      </c>
      <c r="B59" s="2">
        <v>105.70699999999999</v>
      </c>
      <c r="C59">
        <v>36</v>
      </c>
      <c r="D59">
        <f t="shared" si="0"/>
        <v>1.3664870255652914</v>
      </c>
      <c r="E59">
        <v>36</v>
      </c>
      <c r="F59">
        <v>36</v>
      </c>
      <c r="G59">
        <v>1.3664870259999999</v>
      </c>
      <c r="H59">
        <v>1.3830189502000001</v>
      </c>
      <c r="I59" t="s">
        <v>44</v>
      </c>
    </row>
    <row r="60" spans="1:9">
      <c r="A60" s="5">
        <v>44197</v>
      </c>
      <c r="B60" s="2">
        <v>106.145</v>
      </c>
      <c r="C60">
        <v>37</v>
      </c>
      <c r="D60">
        <f t="shared" si="0"/>
        <v>1.6150031591644467</v>
      </c>
      <c r="E60">
        <v>37</v>
      </c>
      <c r="F60">
        <v>37</v>
      </c>
      <c r="G60">
        <v>1.615003159</v>
      </c>
      <c r="H60">
        <v>1.7467192192000001</v>
      </c>
      <c r="I60" t="s">
        <v>45</v>
      </c>
    </row>
    <row r="61" spans="1:9">
      <c r="A61" s="5">
        <v>44228</v>
      </c>
      <c r="B61" s="2">
        <v>106.52200000000001</v>
      </c>
      <c r="C61">
        <v>38</v>
      </c>
      <c r="D61">
        <f t="shared" si="0"/>
        <v>1.8852043500301323</v>
      </c>
      <c r="E61">
        <v>38</v>
      </c>
      <c r="F61">
        <v>38</v>
      </c>
      <c r="G61">
        <v>1.88520435</v>
      </c>
      <c r="H61">
        <v>2.1104194881999998</v>
      </c>
      <c r="I61" t="s">
        <v>46</v>
      </c>
    </row>
    <row r="62" spans="1:9">
      <c r="A62" s="5">
        <v>44256</v>
      </c>
      <c r="B62" s="2">
        <v>107.066</v>
      </c>
      <c r="C62">
        <v>39</v>
      </c>
      <c r="D62">
        <f t="shared" si="0"/>
        <v>2.7130221224505489</v>
      </c>
      <c r="E62">
        <v>39</v>
      </c>
      <c r="F62">
        <v>39</v>
      </c>
      <c r="G62">
        <v>2.7130221219999999</v>
      </c>
      <c r="H62">
        <v>2.4741197572</v>
      </c>
      <c r="I62" t="s">
        <v>47</v>
      </c>
    </row>
    <row r="63" spans="1:9">
      <c r="A63" s="6">
        <v>44287</v>
      </c>
      <c r="B63" s="3">
        <v>107.66200000000001</v>
      </c>
      <c r="C63" s="4">
        <v>40</v>
      </c>
      <c r="D63" s="4">
        <f t="shared" si="0"/>
        <v>3.7246136652664839</v>
      </c>
      <c r="E63" s="4">
        <v>40</v>
      </c>
      <c r="F63" s="4">
        <v>40</v>
      </c>
      <c r="G63" s="4">
        <v>3.7246136650000001</v>
      </c>
      <c r="H63" s="4">
        <v>3.8702564268000001</v>
      </c>
      <c r="I63" t="s">
        <v>48</v>
      </c>
    </row>
    <row r="64" spans="1:9">
      <c r="A64" s="5">
        <v>44317</v>
      </c>
      <c r="B64" s="2">
        <v>108.20699999999999</v>
      </c>
      <c r="C64">
        <v>41</v>
      </c>
      <c r="D64">
        <f t="shared" si="0"/>
        <v>4.1553566272018418</v>
      </c>
      <c r="E64">
        <v>41</v>
      </c>
      <c r="F64">
        <v>41</v>
      </c>
      <c r="G64">
        <v>4.1553566269999997</v>
      </c>
      <c r="H64">
        <v>4.0712063672000003</v>
      </c>
      <c r="I64" t="s">
        <v>49</v>
      </c>
    </row>
    <row r="65" spans="1:9">
      <c r="A65" s="5">
        <v>44348</v>
      </c>
      <c r="B65" s="2">
        <v>108.755</v>
      </c>
      <c r="C65">
        <v>42</v>
      </c>
      <c r="D65">
        <f t="shared" si="0"/>
        <v>4.3724028061689628</v>
      </c>
      <c r="E65">
        <v>42</v>
      </c>
      <c r="F65">
        <v>42</v>
      </c>
      <c r="G65">
        <v>4.3724028060000002</v>
      </c>
      <c r="H65">
        <v>4.2721563076000004</v>
      </c>
      <c r="I65" t="s">
        <v>50</v>
      </c>
    </row>
    <row r="66" spans="1:9">
      <c r="A66" s="5">
        <v>44378</v>
      </c>
      <c r="B66" s="2">
        <v>109.28</v>
      </c>
      <c r="C66">
        <v>43</v>
      </c>
      <c r="D66">
        <f t="shared" si="0"/>
        <v>4.5331496733339112</v>
      </c>
      <c r="E66">
        <v>43</v>
      </c>
      <c r="F66">
        <v>43</v>
      </c>
      <c r="G66">
        <v>4.5331496729999996</v>
      </c>
      <c r="H66">
        <v>4.4731062479999997</v>
      </c>
      <c r="I66" t="s">
        <v>51</v>
      </c>
    </row>
    <row r="67" spans="1:9">
      <c r="A67" s="5">
        <v>44409</v>
      </c>
      <c r="B67" s="2">
        <v>109.74</v>
      </c>
      <c r="C67">
        <v>44</v>
      </c>
      <c r="D67">
        <f t="shared" si="0"/>
        <v>4.6448426131649914</v>
      </c>
      <c r="E67">
        <v>44</v>
      </c>
      <c r="F67">
        <v>44</v>
      </c>
      <c r="G67">
        <v>4.6448426129999998</v>
      </c>
      <c r="H67">
        <v>4.6740561884999998</v>
      </c>
      <c r="I67" t="s">
        <v>52</v>
      </c>
    </row>
    <row r="68" spans="1:9">
      <c r="A68" s="5">
        <v>44440</v>
      </c>
      <c r="B68" s="2">
        <v>110.096</v>
      </c>
      <c r="C68">
        <v>45</v>
      </c>
      <c r="D68">
        <f t="shared" si="0"/>
        <v>4.8054222831467532</v>
      </c>
      <c r="E68">
        <v>45</v>
      </c>
      <c r="F68">
        <v>45</v>
      </c>
      <c r="G68">
        <v>4.8054222830000004</v>
      </c>
      <c r="H68">
        <v>4.8750061289</v>
      </c>
      <c r="I68" t="s">
        <v>53</v>
      </c>
    </row>
    <row r="69" spans="1:9">
      <c r="A69" s="6">
        <v>44470</v>
      </c>
      <c r="B69" s="3">
        <v>110.80800000000001</v>
      </c>
      <c r="C69" s="4">
        <v>46</v>
      </c>
      <c r="D69" s="4">
        <f t="shared" si="0"/>
        <v>5.4069479852364948</v>
      </c>
      <c r="E69" s="4">
        <v>46</v>
      </c>
      <c r="F69" s="4">
        <v>46</v>
      </c>
      <c r="G69" s="4">
        <v>5.4069479850000004</v>
      </c>
      <c r="H69" s="4">
        <v>5.5590709274999996</v>
      </c>
      <c r="I69" t="s">
        <v>54</v>
      </c>
    </row>
    <row r="70" spans="1:9">
      <c r="A70" s="5">
        <v>44501</v>
      </c>
      <c r="B70" s="2">
        <v>111.494</v>
      </c>
      <c r="C70">
        <v>47</v>
      </c>
      <c r="D70">
        <f t="shared" si="0"/>
        <v>5.9859121457836224</v>
      </c>
      <c r="E70">
        <v>47</v>
      </c>
      <c r="F70">
        <v>47</v>
      </c>
      <c r="G70">
        <v>5.9859121460000004</v>
      </c>
      <c r="H70">
        <v>5.8227856459999998</v>
      </c>
      <c r="I70" t="s">
        <v>55</v>
      </c>
    </row>
    <row r="71" spans="1:9">
      <c r="A71" s="5">
        <v>44531</v>
      </c>
      <c r="B71" s="2">
        <v>112.24</v>
      </c>
      <c r="C71">
        <v>48</v>
      </c>
      <c r="D71">
        <f t="shared" si="0"/>
        <v>6.1802908038256712</v>
      </c>
      <c r="E71">
        <v>48</v>
      </c>
      <c r="F71">
        <v>48</v>
      </c>
      <c r="G71">
        <v>6.1802908040000002</v>
      </c>
      <c r="H71">
        <v>6.0865003644</v>
      </c>
      <c r="I71" t="s">
        <v>56</v>
      </c>
    </row>
    <row r="72" spans="1:9">
      <c r="A72" s="5">
        <v>44562</v>
      </c>
      <c r="B72" s="2">
        <v>112.82899999999999</v>
      </c>
      <c r="C72">
        <v>49</v>
      </c>
      <c r="D72">
        <f t="shared" si="0"/>
        <v>6.2970464930048493</v>
      </c>
      <c r="E72">
        <v>49</v>
      </c>
      <c r="F72">
        <v>49</v>
      </c>
      <c r="G72">
        <v>6.2970464929999999</v>
      </c>
      <c r="H72">
        <v>6.3502150829000001</v>
      </c>
      <c r="I72" t="s">
        <v>118</v>
      </c>
    </row>
    <row r="73" spans="1:9">
      <c r="A73" s="5">
        <v>44593</v>
      </c>
      <c r="B73" s="2">
        <v>113.496</v>
      </c>
      <c r="C73">
        <v>50</v>
      </c>
      <c r="D73">
        <f t="shared" si="0"/>
        <v>6.5470043746831541</v>
      </c>
      <c r="E73">
        <v>50</v>
      </c>
      <c r="F73">
        <v>50</v>
      </c>
      <c r="G73">
        <v>6.5470043750000002</v>
      </c>
      <c r="H73">
        <v>6.6139298014000003</v>
      </c>
      <c r="I73" t="s">
        <v>119</v>
      </c>
    </row>
    <row r="74" spans="1:9">
      <c r="A74" s="5">
        <v>44621</v>
      </c>
      <c r="B74" s="2">
        <v>114.446</v>
      </c>
      <c r="C74">
        <v>51</v>
      </c>
      <c r="D74">
        <f t="shared" si="0"/>
        <v>6.8929445388825537</v>
      </c>
      <c r="E74">
        <v>51</v>
      </c>
      <c r="F74">
        <v>51</v>
      </c>
      <c r="G74">
        <v>6.8929445390000001</v>
      </c>
      <c r="H74">
        <v>6.8776445197999996</v>
      </c>
      <c r="I74" t="s">
        <v>120</v>
      </c>
    </row>
    <row r="75" spans="1:9">
      <c r="A75" s="6">
        <v>44652</v>
      </c>
      <c r="B75" s="3">
        <v>114.789</v>
      </c>
      <c r="C75" s="4">
        <v>52</v>
      </c>
      <c r="D75" s="4">
        <f t="shared" si="0"/>
        <v>6.619791569913243</v>
      </c>
      <c r="E75" s="4">
        <v>52</v>
      </c>
      <c r="F75" s="4">
        <v>52</v>
      </c>
      <c r="G75" s="4">
        <v>6.6197915700000003</v>
      </c>
      <c r="H75" s="4">
        <v>7.3556668188999996</v>
      </c>
      <c r="I75" t="s">
        <v>121</v>
      </c>
    </row>
    <row r="76" spans="1:9">
      <c r="A76" s="5">
        <v>44682</v>
      </c>
      <c r="B76" s="2">
        <v>115.446</v>
      </c>
      <c r="C76">
        <v>53</v>
      </c>
      <c r="D76">
        <f t="shared" si="0"/>
        <v>6.6899553633313973</v>
      </c>
      <c r="E76">
        <v>53</v>
      </c>
      <c r="F76">
        <v>53</v>
      </c>
      <c r="G76">
        <v>6.6899553630000002</v>
      </c>
      <c r="H76">
        <v>7.1100566401999998</v>
      </c>
      <c r="I76" t="s">
        <v>122</v>
      </c>
    </row>
    <row r="77" spans="1:9">
      <c r="A77" s="5">
        <v>44713</v>
      </c>
      <c r="B77" s="2">
        <v>116.495</v>
      </c>
      <c r="C77">
        <v>54</v>
      </c>
      <c r="D77">
        <f t="shared" si="0"/>
        <v>7.1169141648659915</v>
      </c>
      <c r="E77">
        <v>54</v>
      </c>
      <c r="F77">
        <v>54</v>
      </c>
      <c r="G77">
        <v>7.1169141649999998</v>
      </c>
      <c r="H77">
        <v>6.8644464616</v>
      </c>
    </row>
    <row r="78" spans="1:9">
      <c r="A78" s="5">
        <v>44743</v>
      </c>
      <c r="B78" s="2">
        <v>116.511</v>
      </c>
      <c r="C78">
        <v>55</v>
      </c>
      <c r="D78">
        <f t="shared" si="0"/>
        <v>6.616947291361635</v>
      </c>
      <c r="E78">
        <v>55</v>
      </c>
      <c r="F78">
        <v>55</v>
      </c>
      <c r="G78">
        <v>6.6169472909999998</v>
      </c>
      <c r="H78">
        <v>6.6188362829000003</v>
      </c>
    </row>
    <row r="79" spans="1:9">
      <c r="A79" s="5">
        <v>44774</v>
      </c>
      <c r="B79" s="2">
        <v>116.89</v>
      </c>
      <c r="C79">
        <v>56</v>
      </c>
      <c r="D79">
        <f t="shared" si="0"/>
        <v>6.5154000364497957</v>
      </c>
      <c r="E79">
        <v>56</v>
      </c>
      <c r="F79">
        <v>56</v>
      </c>
      <c r="G79">
        <v>6.515400036</v>
      </c>
      <c r="H79">
        <v>6.3732261042999996</v>
      </c>
    </row>
    <row r="80" spans="1:9">
      <c r="A80" s="5">
        <v>44805</v>
      </c>
      <c r="B80" s="2">
        <v>117.31399999999999</v>
      </c>
      <c r="C80">
        <v>57</v>
      </c>
      <c r="D80">
        <f t="shared" si="0"/>
        <v>6.5560964976020832</v>
      </c>
      <c r="E80">
        <v>57</v>
      </c>
      <c r="F80">
        <v>57</v>
      </c>
      <c r="G80">
        <v>6.5560964979999996</v>
      </c>
      <c r="H80">
        <v>6.1276159255999998</v>
      </c>
    </row>
    <row r="81" spans="1:8">
      <c r="A81" s="5">
        <v>44835</v>
      </c>
      <c r="B81" s="2">
        <v>117.842</v>
      </c>
      <c r="C81">
        <v>58</v>
      </c>
      <c r="D81">
        <f t="shared" si="0"/>
        <v>6.3479171178976168</v>
      </c>
      <c r="E81">
        <v>58</v>
      </c>
      <c r="F81">
        <v>58</v>
      </c>
      <c r="G81">
        <v>6.3479171179999998</v>
      </c>
      <c r="H81">
        <v>5.882005747</v>
      </c>
    </row>
    <row r="82" spans="1:8">
      <c r="A82" s="5">
        <v>44866</v>
      </c>
      <c r="B82" s="2">
        <v>118.104</v>
      </c>
      <c r="C82">
        <v>59</v>
      </c>
      <c r="D82">
        <f t="shared" si="0"/>
        <v>5.9285701472724988</v>
      </c>
      <c r="E82">
        <v>59</v>
      </c>
      <c r="F82">
        <v>59</v>
      </c>
      <c r="G82">
        <v>5.9285701470000003</v>
      </c>
      <c r="H82">
        <v>5.6363955683000002</v>
      </c>
    </row>
    <row r="83" spans="1:8">
      <c r="A83" s="5">
        <v>44896</v>
      </c>
      <c r="B83" s="2">
        <v>118.348</v>
      </c>
      <c r="C83">
        <v>60</v>
      </c>
      <c r="D83">
        <f t="shared" si="0"/>
        <v>5.441910192444765</v>
      </c>
      <c r="E83">
        <v>60</v>
      </c>
      <c r="F83">
        <v>60</v>
      </c>
      <c r="G83">
        <v>5.4419101919999999</v>
      </c>
      <c r="H83">
        <v>5.3907853897000004</v>
      </c>
    </row>
    <row r="84" spans="1:8">
      <c r="A84" s="5">
        <v>44927</v>
      </c>
      <c r="B84" s="2">
        <v>119.011</v>
      </c>
      <c r="C84">
        <v>61</v>
      </c>
      <c r="D84">
        <f t="shared" si="0"/>
        <v>5.4790878231660329</v>
      </c>
      <c r="E84">
        <v>61</v>
      </c>
      <c r="F84">
        <v>61</v>
      </c>
      <c r="G84">
        <v>5.4790878230000004</v>
      </c>
      <c r="H84">
        <v>5.1451752109999997</v>
      </c>
    </row>
    <row r="85" spans="1:8">
      <c r="A85" s="5">
        <v>44958</v>
      </c>
      <c r="B85" s="2">
        <v>119.386</v>
      </c>
      <c r="C85">
        <v>62</v>
      </c>
      <c r="D85">
        <f t="shared" si="0"/>
        <v>5.1896102065271021</v>
      </c>
      <c r="E85">
        <v>62</v>
      </c>
      <c r="F85">
        <v>62</v>
      </c>
      <c r="G85">
        <v>5.1896102070000003</v>
      </c>
      <c r="H85">
        <v>4.8995650323</v>
      </c>
    </row>
    <row r="86" spans="1:8">
      <c r="A86" s="5">
        <v>44986</v>
      </c>
      <c r="B86" s="2">
        <v>119.53</v>
      </c>
      <c r="C86">
        <v>63</v>
      </c>
      <c r="D86">
        <f t="shared" si="0"/>
        <v>4.4422697167222998</v>
      </c>
      <c r="E86">
        <v>63</v>
      </c>
      <c r="F86">
        <v>63</v>
      </c>
      <c r="G86">
        <v>4.4422697170000003</v>
      </c>
      <c r="H86">
        <v>4.6539548537000002</v>
      </c>
    </row>
    <row r="87" spans="1:8">
      <c r="A87" s="5">
        <v>45017</v>
      </c>
      <c r="B87" s="2">
        <v>119.893</v>
      </c>
      <c r="C87">
        <v>64</v>
      </c>
      <c r="D87">
        <f t="shared" si="0"/>
        <v>4.4464190819677833</v>
      </c>
      <c r="E87">
        <v>64</v>
      </c>
      <c r="F87">
        <v>64</v>
      </c>
      <c r="G87">
        <v>4.4464190820000002</v>
      </c>
      <c r="H87">
        <v>4.4083446750000004</v>
      </c>
    </row>
    <row r="88" spans="1:8">
      <c r="A88" s="5">
        <v>45047</v>
      </c>
      <c r="B88" s="2">
        <v>120.02</v>
      </c>
      <c r="C88">
        <v>65</v>
      </c>
      <c r="D88">
        <f t="shared" si="0"/>
        <v>3.9620255357483138</v>
      </c>
      <c r="E88">
        <v>65</v>
      </c>
      <c r="F88">
        <v>65</v>
      </c>
      <c r="G88">
        <v>3.9620255360000001</v>
      </c>
      <c r="H88">
        <v>4.1627344963999997</v>
      </c>
    </row>
    <row r="89" spans="1:8">
      <c r="A89" s="5">
        <v>45078</v>
      </c>
      <c r="B89" s="2">
        <v>120.221</v>
      </c>
      <c r="C89">
        <v>66</v>
      </c>
      <c r="D89">
        <f>100*(B89-B77)/B77</f>
        <v>3.1984205330700881</v>
      </c>
      <c r="E89">
        <v>66</v>
      </c>
      <c r="F89">
        <v>66</v>
      </c>
      <c r="G89">
        <v>3.1984205330000002</v>
      </c>
      <c r="H89">
        <v>3.9171243176999999</v>
      </c>
    </row>
    <row r="90" spans="1:8">
      <c r="A90" s="5">
        <v>45108</v>
      </c>
      <c r="B90" s="2">
        <v>120.438</v>
      </c>
      <c r="C90">
        <v>67</v>
      </c>
      <c r="D90">
        <f>100*(B90-B78)/B78</f>
        <v>3.370497206272375</v>
      </c>
      <c r="E90">
        <v>67</v>
      </c>
      <c r="F90">
        <v>67</v>
      </c>
      <c r="G90">
        <v>3.370497206</v>
      </c>
      <c r="H90">
        <v>3.6715141391000001</v>
      </c>
    </row>
    <row r="91" spans="1:8">
      <c r="A91" s="5">
        <v>45139</v>
      </c>
      <c r="B91" s="2">
        <v>120.877</v>
      </c>
      <c r="C91">
        <v>68</v>
      </c>
      <c r="D91">
        <f>100*(B91-B79)/B79</f>
        <v>3.410899135939768</v>
      </c>
      <c r="E91">
        <v>68</v>
      </c>
      <c r="F91">
        <v>68</v>
      </c>
      <c r="G91">
        <v>3.4108991359999998</v>
      </c>
      <c r="H91">
        <v>3.4259039603999999</v>
      </c>
    </row>
    <row r="92" spans="1:8">
      <c r="A92" s="5">
        <v>45170</v>
      </c>
      <c r="B92" s="2">
        <v>121.325</v>
      </c>
      <c r="C92">
        <v>69</v>
      </c>
      <c r="D92">
        <f>100*(B92-B80)/B80</f>
        <v>3.419029271868669</v>
      </c>
      <c r="E92">
        <v>69</v>
      </c>
      <c r="F92">
        <v>69</v>
      </c>
      <c r="G92">
        <v>3.419029272</v>
      </c>
      <c r="H92">
        <v>3.1802937818000001</v>
      </c>
    </row>
    <row r="93" spans="1:8">
      <c r="A93" s="5">
        <v>45200</v>
      </c>
      <c r="B93" s="2">
        <v>121.38500000000001</v>
      </c>
      <c r="C93">
        <v>70</v>
      </c>
      <c r="D93">
        <f>100*(B93-B81)/B81</f>
        <v>3.0065681166307483</v>
      </c>
      <c r="E93">
        <v>70</v>
      </c>
      <c r="F93">
        <v>70</v>
      </c>
      <c r="G93">
        <v>3.006568117</v>
      </c>
      <c r="H93">
        <v>2.9346836030999999</v>
      </c>
    </row>
  </sheetData>
  <phoneticPr fontId="2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867F-5442-4E06-A753-EFF3752F8037}">
  <dimension ref="A1:I92"/>
  <sheetViews>
    <sheetView topLeftCell="A78" workbookViewId="0">
      <selection activeCell="C23" sqref="C23:H23"/>
    </sheetView>
  </sheetViews>
  <sheetFormatPr defaultRowHeight="13.2"/>
  <cols>
    <col min="1" max="1" width="12.109375" style="31" customWidth="1"/>
    <col min="2" max="2" width="9.33203125" style="31" customWidth="1"/>
    <col min="3" max="3" width="3.5546875" style="31" bestFit="1" customWidth="1"/>
    <col min="4" max="4" width="12.77734375" style="31" bestFit="1" customWidth="1"/>
  </cols>
  <sheetData>
    <row r="1" spans="1:2">
      <c r="A1" s="31" t="s">
        <v>0</v>
      </c>
    </row>
    <row r="2" spans="1:2">
      <c r="A2" s="31" t="s">
        <v>1</v>
      </c>
    </row>
    <row r="3" spans="1:2">
      <c r="A3" s="31" t="s">
        <v>2</v>
      </c>
    </row>
    <row r="4" spans="1:2">
      <c r="A4" s="31" t="s">
        <v>3</v>
      </c>
    </row>
    <row r="5" spans="1:2">
      <c r="A5" s="31" t="s">
        <v>4</v>
      </c>
    </row>
    <row r="6" spans="1:2">
      <c r="A6" s="31" t="s">
        <v>5</v>
      </c>
    </row>
    <row r="8" spans="1:2">
      <c r="A8" s="31" t="s">
        <v>6</v>
      </c>
      <c r="B8" s="31" t="s">
        <v>7</v>
      </c>
    </row>
    <row r="10" spans="1:2">
      <c r="A10" s="31" t="s">
        <v>8</v>
      </c>
    </row>
    <row r="11" spans="1:2">
      <c r="A11" s="31" t="s">
        <v>9</v>
      </c>
      <c r="B11" s="31" t="s">
        <v>6</v>
      </c>
    </row>
    <row r="12" spans="1:2">
      <c r="A12" s="32">
        <v>42736</v>
      </c>
      <c r="B12" s="33">
        <v>99.450999999999993</v>
      </c>
    </row>
    <row r="13" spans="1:2">
      <c r="A13" s="32">
        <v>42767</v>
      </c>
      <c r="B13" s="33">
        <v>99.585999999999999</v>
      </c>
    </row>
    <row r="14" spans="1:2">
      <c r="A14" s="32">
        <v>42795</v>
      </c>
      <c r="B14" s="33">
        <v>99.534999999999997</v>
      </c>
    </row>
    <row r="15" spans="1:2">
      <c r="A15" s="32">
        <v>42826</v>
      </c>
      <c r="B15" s="33">
        <v>99.724999999999994</v>
      </c>
    </row>
    <row r="16" spans="1:2">
      <c r="A16" s="32">
        <v>42856</v>
      </c>
      <c r="B16" s="33">
        <v>99.682000000000002</v>
      </c>
    </row>
    <row r="17" spans="1:9">
      <c r="A17" s="32">
        <v>42887</v>
      </c>
      <c r="B17" s="33">
        <v>99.766000000000005</v>
      </c>
    </row>
    <row r="18" spans="1:9">
      <c r="A18" s="32">
        <v>42917</v>
      </c>
      <c r="B18" s="33">
        <v>99.802999999999997</v>
      </c>
    </row>
    <row r="19" spans="1:9">
      <c r="A19" s="32">
        <v>42948</v>
      </c>
      <c r="B19" s="33">
        <v>100.027</v>
      </c>
    </row>
    <row r="20" spans="1:9">
      <c r="A20" s="32">
        <v>42979</v>
      </c>
      <c r="B20" s="33">
        <v>100.4</v>
      </c>
    </row>
    <row r="21" spans="1:9">
      <c r="A21" s="32">
        <v>43009</v>
      </c>
      <c r="B21" s="33">
        <v>100.53100000000001</v>
      </c>
    </row>
    <row r="22" spans="1:9">
      <c r="A22" s="32">
        <v>43040</v>
      </c>
      <c r="B22" s="33">
        <v>100.675</v>
      </c>
    </row>
    <row r="23" spans="1:9" ht="13.8">
      <c r="A23" s="32">
        <v>43070</v>
      </c>
      <c r="B23" s="33">
        <v>100.821</v>
      </c>
      <c r="C23" s="77" t="s">
        <v>491</v>
      </c>
      <c r="D23" s="31" t="s">
        <v>490</v>
      </c>
      <c r="E23" s="77" t="s">
        <v>491</v>
      </c>
      <c r="F23" s="77" t="s">
        <v>491</v>
      </c>
      <c r="G23" s="31" t="s">
        <v>490</v>
      </c>
      <c r="H23" s="78" t="s">
        <v>492</v>
      </c>
    </row>
    <row r="24" spans="1:9" ht="13.8">
      <c r="A24" s="5">
        <v>43101</v>
      </c>
      <c r="B24" s="33">
        <v>101.199</v>
      </c>
      <c r="C24" s="31">
        <v>1</v>
      </c>
      <c r="D24" s="31">
        <f>100*(B24-B12)/B12</f>
        <v>1.7576494957315711</v>
      </c>
      <c r="E24">
        <v>1</v>
      </c>
      <c r="F24">
        <v>1</v>
      </c>
      <c r="G24">
        <v>1.757649496</v>
      </c>
      <c r="H24">
        <v>1.7360498802</v>
      </c>
      <c r="I24" t="s">
        <v>144</v>
      </c>
    </row>
    <row r="25" spans="1:9">
      <c r="A25" s="5">
        <v>43132</v>
      </c>
      <c r="B25" s="33">
        <v>101.416</v>
      </c>
      <c r="C25" s="31">
        <v>2</v>
      </c>
      <c r="D25" s="31">
        <f t="shared" ref="D25:D88" si="0">100*(B25-B13)/B13</f>
        <v>1.8376076958608623</v>
      </c>
      <c r="E25">
        <v>2</v>
      </c>
      <c r="F25">
        <v>2</v>
      </c>
      <c r="G25">
        <v>1.8376076960000001</v>
      </c>
      <c r="H25">
        <v>1.8586633416</v>
      </c>
      <c r="I25" t="s">
        <v>284</v>
      </c>
    </row>
    <row r="26" spans="1:9">
      <c r="A26" s="5">
        <v>43160</v>
      </c>
      <c r="B26" s="33">
        <v>101.524</v>
      </c>
      <c r="C26" s="31">
        <v>3</v>
      </c>
      <c r="D26" s="31">
        <f t="shared" si="0"/>
        <v>1.9982920580700301</v>
      </c>
      <c r="E26">
        <v>3</v>
      </c>
      <c r="F26">
        <v>3</v>
      </c>
      <c r="G26">
        <v>1.9982920580000001</v>
      </c>
      <c r="H26">
        <v>1.9812768030000001</v>
      </c>
      <c r="I26" t="s">
        <v>12</v>
      </c>
    </row>
    <row r="27" spans="1:9">
      <c r="A27" s="5">
        <v>43191</v>
      </c>
      <c r="B27" s="33">
        <v>101.76600000000001</v>
      </c>
      <c r="C27" s="31">
        <v>4</v>
      </c>
      <c r="D27" s="31">
        <f t="shared" si="0"/>
        <v>2.0466282276259826</v>
      </c>
      <c r="E27">
        <v>4</v>
      </c>
      <c r="F27">
        <v>4</v>
      </c>
      <c r="G27">
        <v>2.0466282279999999</v>
      </c>
      <c r="H27">
        <v>2.1038902643999999</v>
      </c>
      <c r="I27" t="s">
        <v>13</v>
      </c>
    </row>
    <row r="28" spans="1:9">
      <c r="A28" s="5">
        <v>43221</v>
      </c>
      <c r="B28" s="33">
        <v>101.941</v>
      </c>
      <c r="C28" s="31">
        <v>5</v>
      </c>
      <c r="D28" s="31">
        <f t="shared" si="0"/>
        <v>2.2662065367869828</v>
      </c>
      <c r="E28">
        <v>5</v>
      </c>
      <c r="F28">
        <v>5</v>
      </c>
      <c r="G28">
        <v>2.266206537</v>
      </c>
      <c r="H28">
        <v>2.2265037258000002</v>
      </c>
      <c r="I28" t="s">
        <v>14</v>
      </c>
    </row>
    <row r="29" spans="1:9">
      <c r="A29" s="16">
        <v>43252</v>
      </c>
      <c r="B29" s="13">
        <v>102.029</v>
      </c>
      <c r="C29" s="14">
        <v>6</v>
      </c>
      <c r="D29" s="14">
        <f t="shared" si="0"/>
        <v>2.2683078403464014</v>
      </c>
      <c r="E29">
        <v>6</v>
      </c>
      <c r="F29">
        <v>6</v>
      </c>
      <c r="G29">
        <v>2.2683078399999999</v>
      </c>
      <c r="H29">
        <v>2.3222375461999998</v>
      </c>
      <c r="I29" t="s">
        <v>15</v>
      </c>
    </row>
    <row r="30" spans="1:9">
      <c r="A30" s="5">
        <v>43282</v>
      </c>
      <c r="B30" s="33">
        <v>102.137</v>
      </c>
      <c r="C30" s="31">
        <v>7</v>
      </c>
      <c r="D30" s="31">
        <f t="shared" si="0"/>
        <v>2.3386070559001264</v>
      </c>
      <c r="E30">
        <v>7</v>
      </c>
      <c r="F30">
        <v>7</v>
      </c>
      <c r="G30">
        <v>2.3386070559999999</v>
      </c>
      <c r="H30">
        <v>2.2461091979000001</v>
      </c>
      <c r="I30" t="s">
        <v>16</v>
      </c>
    </row>
    <row r="31" spans="1:9">
      <c r="A31" s="5">
        <v>43313</v>
      </c>
      <c r="B31" s="33">
        <v>102.208</v>
      </c>
      <c r="C31" s="31">
        <v>8</v>
      </c>
      <c r="D31" s="31">
        <f t="shared" si="0"/>
        <v>2.1804112889519804</v>
      </c>
      <c r="E31">
        <v>8</v>
      </c>
      <c r="F31">
        <v>8</v>
      </c>
      <c r="G31">
        <v>2.1804112889999998</v>
      </c>
      <c r="H31">
        <v>2.1699808494999999</v>
      </c>
    </row>
    <row r="32" spans="1:9">
      <c r="A32" s="5">
        <v>43344</v>
      </c>
      <c r="B32" s="33">
        <v>102.41800000000001</v>
      </c>
      <c r="C32" s="31">
        <v>9</v>
      </c>
      <c r="D32" s="31">
        <f t="shared" si="0"/>
        <v>2.0099601593625502</v>
      </c>
      <c r="E32">
        <v>9</v>
      </c>
      <c r="F32">
        <v>9</v>
      </c>
      <c r="G32">
        <v>2.0099601589999998</v>
      </c>
      <c r="H32">
        <v>2.0938525011000002</v>
      </c>
      <c r="I32" t="s">
        <v>17</v>
      </c>
    </row>
    <row r="33" spans="1:9">
      <c r="A33" s="5">
        <v>43374</v>
      </c>
      <c r="B33" s="33">
        <v>102.595</v>
      </c>
      <c r="C33" s="31">
        <v>10</v>
      </c>
      <c r="D33" s="31">
        <f t="shared" si="0"/>
        <v>2.0530980493579025</v>
      </c>
      <c r="E33">
        <v>10</v>
      </c>
      <c r="F33">
        <v>10</v>
      </c>
      <c r="G33">
        <v>2.0530980489999999</v>
      </c>
      <c r="H33">
        <v>2.0177241528000001</v>
      </c>
      <c r="I33" t="s">
        <v>18</v>
      </c>
    </row>
    <row r="34" spans="1:9">
      <c r="A34" s="5">
        <v>43405</v>
      </c>
      <c r="B34" s="33">
        <v>102.63</v>
      </c>
      <c r="C34" s="31">
        <v>11</v>
      </c>
      <c r="D34" s="31">
        <f t="shared" si="0"/>
        <v>1.9418922274646122</v>
      </c>
      <c r="E34">
        <v>11</v>
      </c>
      <c r="F34">
        <v>11</v>
      </c>
      <c r="G34">
        <v>1.9418922270000001</v>
      </c>
      <c r="H34">
        <v>1.9415958043999999</v>
      </c>
      <c r="I34" t="s">
        <v>19</v>
      </c>
    </row>
    <row r="35" spans="1:9">
      <c r="A35" s="5">
        <v>43435</v>
      </c>
      <c r="B35" s="33">
        <v>102.70099999999999</v>
      </c>
      <c r="C35" s="31">
        <v>12</v>
      </c>
      <c r="D35" s="31">
        <f t="shared" si="0"/>
        <v>1.8646908878110666</v>
      </c>
      <c r="E35">
        <v>12</v>
      </c>
      <c r="F35">
        <v>12</v>
      </c>
      <c r="G35">
        <v>1.8646908879999999</v>
      </c>
      <c r="H35">
        <v>1.8654674561</v>
      </c>
      <c r="I35" t="s">
        <v>20</v>
      </c>
    </row>
    <row r="36" spans="1:9">
      <c r="A36" s="16">
        <v>43466</v>
      </c>
      <c r="B36" s="13">
        <v>102.714</v>
      </c>
      <c r="C36" s="14">
        <v>13</v>
      </c>
      <c r="D36" s="14">
        <f t="shared" si="0"/>
        <v>1.4970503661103376</v>
      </c>
      <c r="E36">
        <v>13</v>
      </c>
      <c r="F36">
        <v>13</v>
      </c>
      <c r="G36">
        <v>1.4970503660000001</v>
      </c>
      <c r="H36">
        <v>1.5253491168</v>
      </c>
      <c r="I36" t="s">
        <v>21</v>
      </c>
    </row>
    <row r="37" spans="1:9">
      <c r="A37" s="5">
        <v>43497</v>
      </c>
      <c r="B37" s="33">
        <v>102.86199999999999</v>
      </c>
      <c r="C37" s="31">
        <v>14</v>
      </c>
      <c r="D37" s="31">
        <f t="shared" si="0"/>
        <v>1.4258105229943974</v>
      </c>
      <c r="E37">
        <v>14</v>
      </c>
      <c r="F37">
        <v>14</v>
      </c>
      <c r="G37">
        <v>1.425810523</v>
      </c>
      <c r="H37">
        <v>1.5058576435</v>
      </c>
      <c r="I37" t="s">
        <v>22</v>
      </c>
    </row>
    <row r="38" spans="1:9">
      <c r="A38" s="5">
        <v>43525</v>
      </c>
      <c r="B38" s="33">
        <v>103.056</v>
      </c>
      <c r="C38" s="31">
        <v>15</v>
      </c>
      <c r="D38" s="31">
        <f t="shared" si="0"/>
        <v>1.5090027973681066</v>
      </c>
      <c r="E38">
        <v>15</v>
      </c>
      <c r="F38">
        <v>15</v>
      </c>
      <c r="G38">
        <v>1.509002797</v>
      </c>
      <c r="H38">
        <v>1.4863661703</v>
      </c>
      <c r="I38" t="s">
        <v>23</v>
      </c>
    </row>
    <row r="39" spans="1:9">
      <c r="A39" s="5">
        <v>43556</v>
      </c>
      <c r="B39" s="33">
        <v>103.371</v>
      </c>
      <c r="C39" s="31">
        <v>16</v>
      </c>
      <c r="D39" s="31">
        <f t="shared" si="0"/>
        <v>1.5771475738458716</v>
      </c>
      <c r="E39">
        <v>16</v>
      </c>
      <c r="F39">
        <v>16</v>
      </c>
      <c r="G39">
        <v>1.5771475740000001</v>
      </c>
      <c r="H39">
        <v>1.4668746969999999</v>
      </c>
      <c r="I39" t="s">
        <v>24</v>
      </c>
    </row>
    <row r="40" spans="1:9">
      <c r="A40" s="5">
        <v>43586</v>
      </c>
      <c r="B40" s="33">
        <v>103.426</v>
      </c>
      <c r="C40" s="31">
        <v>17</v>
      </c>
      <c r="D40" s="31">
        <f t="shared" si="0"/>
        <v>1.4567249683640531</v>
      </c>
      <c r="E40">
        <v>17</v>
      </c>
      <c r="F40">
        <v>17</v>
      </c>
      <c r="G40">
        <v>1.4567249680000001</v>
      </c>
      <c r="H40">
        <v>1.4473832236999999</v>
      </c>
      <c r="I40" t="s">
        <v>25</v>
      </c>
    </row>
    <row r="41" spans="1:9">
      <c r="A41" s="5">
        <v>43617</v>
      </c>
      <c r="B41" s="33">
        <v>103.46899999999999</v>
      </c>
      <c r="C41" s="31">
        <v>18</v>
      </c>
      <c r="D41" s="31">
        <f t="shared" si="0"/>
        <v>1.4113634358858733</v>
      </c>
      <c r="E41">
        <v>18</v>
      </c>
      <c r="F41">
        <v>18</v>
      </c>
      <c r="G41">
        <v>1.411363436</v>
      </c>
      <c r="H41">
        <v>1.4278917504999999</v>
      </c>
      <c r="I41" t="s">
        <v>26</v>
      </c>
    </row>
    <row r="42" spans="1:9">
      <c r="A42" s="5">
        <v>43647</v>
      </c>
      <c r="B42" s="33">
        <v>103.608</v>
      </c>
      <c r="C42" s="31">
        <v>19</v>
      </c>
      <c r="D42" s="31">
        <f t="shared" si="0"/>
        <v>1.4402224463221003</v>
      </c>
      <c r="E42">
        <v>19</v>
      </c>
      <c r="F42">
        <v>19</v>
      </c>
      <c r="G42">
        <v>1.4402224459999999</v>
      </c>
      <c r="H42">
        <v>1.4084002771999999</v>
      </c>
      <c r="I42" t="s">
        <v>27</v>
      </c>
    </row>
    <row r="43" spans="1:9">
      <c r="A43" s="5">
        <v>43678</v>
      </c>
      <c r="B43" s="33">
        <v>103.661</v>
      </c>
      <c r="C43" s="31">
        <v>20</v>
      </c>
      <c r="D43" s="31">
        <f t="shared" si="0"/>
        <v>1.4216108328115244</v>
      </c>
      <c r="E43">
        <v>20</v>
      </c>
      <c r="F43">
        <v>20</v>
      </c>
      <c r="G43">
        <v>1.4216108329999999</v>
      </c>
      <c r="H43">
        <v>1.3889088038999999</v>
      </c>
      <c r="I43" t="s">
        <v>28</v>
      </c>
    </row>
    <row r="44" spans="1:9">
      <c r="A44" s="5">
        <v>43709</v>
      </c>
      <c r="B44" s="33">
        <v>103.754</v>
      </c>
      <c r="C44" s="31">
        <v>21</v>
      </c>
      <c r="D44" s="31">
        <f t="shared" si="0"/>
        <v>1.3044582007069054</v>
      </c>
      <c r="E44">
        <v>21</v>
      </c>
      <c r="F44">
        <v>21</v>
      </c>
      <c r="G44">
        <v>1.3044582010000001</v>
      </c>
      <c r="H44">
        <v>1.3694173305999999</v>
      </c>
      <c r="I44" t="s">
        <v>29</v>
      </c>
    </row>
    <row r="45" spans="1:9">
      <c r="A45" s="5">
        <v>43739</v>
      </c>
      <c r="B45" s="33">
        <v>103.961</v>
      </c>
      <c r="C45" s="31">
        <v>22</v>
      </c>
      <c r="D45" s="31">
        <f t="shared" si="0"/>
        <v>1.3314489010185679</v>
      </c>
      <c r="E45">
        <v>22</v>
      </c>
      <c r="F45">
        <v>22</v>
      </c>
      <c r="G45">
        <v>1.3314489009999999</v>
      </c>
      <c r="H45">
        <v>1.3499258573999999</v>
      </c>
      <c r="I45" t="s">
        <v>30</v>
      </c>
    </row>
    <row r="46" spans="1:9">
      <c r="A46" s="5">
        <v>43770</v>
      </c>
      <c r="B46" s="33">
        <v>103.997</v>
      </c>
      <c r="C46" s="31">
        <v>23</v>
      </c>
      <c r="D46" s="31">
        <f t="shared" si="0"/>
        <v>1.3319692097827189</v>
      </c>
      <c r="E46">
        <v>23</v>
      </c>
      <c r="F46">
        <v>23</v>
      </c>
      <c r="G46">
        <v>1.33196921</v>
      </c>
      <c r="H46">
        <v>1.3304343840999999</v>
      </c>
      <c r="I46" t="s">
        <v>31</v>
      </c>
    </row>
    <row r="47" spans="1:9">
      <c r="A47" s="16">
        <v>43800</v>
      </c>
      <c r="B47" s="13">
        <v>104.282</v>
      </c>
      <c r="C47" s="14">
        <v>24</v>
      </c>
      <c r="D47" s="14">
        <f t="shared" si="0"/>
        <v>1.5394202588095571</v>
      </c>
      <c r="E47">
        <v>24</v>
      </c>
      <c r="F47">
        <v>24</v>
      </c>
      <c r="G47">
        <v>1.5394202589999999</v>
      </c>
      <c r="H47">
        <v>1.8483446670999999</v>
      </c>
      <c r="I47" t="s">
        <v>32</v>
      </c>
    </row>
    <row r="48" spans="1:9">
      <c r="A48" s="5">
        <v>43831</v>
      </c>
      <c r="B48" s="33">
        <v>104.458</v>
      </c>
      <c r="C48" s="31">
        <v>25</v>
      </c>
      <c r="D48" s="31">
        <f t="shared" si="0"/>
        <v>1.6979184921237609</v>
      </c>
      <c r="E48">
        <v>25</v>
      </c>
      <c r="F48">
        <v>25</v>
      </c>
      <c r="G48">
        <v>1.6979184919999999</v>
      </c>
      <c r="H48">
        <v>1.5680777449000001</v>
      </c>
      <c r="I48" t="s">
        <v>33</v>
      </c>
    </row>
    <row r="49" spans="1:9">
      <c r="A49" s="5">
        <v>43862</v>
      </c>
      <c r="B49" s="33">
        <v>104.551</v>
      </c>
      <c r="C49" s="31">
        <v>26</v>
      </c>
      <c r="D49" s="31">
        <f t="shared" si="0"/>
        <v>1.6420057941708379</v>
      </c>
      <c r="E49">
        <v>26</v>
      </c>
      <c r="F49">
        <v>26</v>
      </c>
      <c r="G49">
        <v>1.6420057939999999</v>
      </c>
      <c r="H49">
        <v>1.2878108226</v>
      </c>
      <c r="I49" t="s">
        <v>34</v>
      </c>
    </row>
    <row r="50" spans="1:9">
      <c r="A50" s="5">
        <v>43891</v>
      </c>
      <c r="B50" s="33">
        <v>104.238</v>
      </c>
      <c r="C50" s="31">
        <v>27</v>
      </c>
      <c r="D50" s="31">
        <f t="shared" si="0"/>
        <v>1.1469492314857963</v>
      </c>
      <c r="E50">
        <v>27</v>
      </c>
      <c r="F50">
        <v>27</v>
      </c>
      <c r="G50">
        <v>1.146949231</v>
      </c>
      <c r="H50">
        <v>1.0075439004</v>
      </c>
      <c r="I50" t="s">
        <v>35</v>
      </c>
    </row>
    <row r="51" spans="1:9">
      <c r="A51" s="5">
        <v>43922</v>
      </c>
      <c r="B51" s="33">
        <v>103.79600000000001</v>
      </c>
      <c r="C51" s="31">
        <v>28</v>
      </c>
      <c r="D51" s="31">
        <f t="shared" si="0"/>
        <v>0.41114045525341864</v>
      </c>
      <c r="E51">
        <v>28</v>
      </c>
      <c r="F51">
        <v>28</v>
      </c>
      <c r="G51">
        <v>0.41114045500000002</v>
      </c>
      <c r="H51">
        <v>0.72727697810000003</v>
      </c>
      <c r="I51" t="s">
        <v>36</v>
      </c>
    </row>
    <row r="52" spans="1:9">
      <c r="A52" s="5">
        <v>43952</v>
      </c>
      <c r="B52" s="33">
        <v>103.89</v>
      </c>
      <c r="C52" s="31">
        <v>29</v>
      </c>
      <c r="D52" s="31">
        <f t="shared" si="0"/>
        <v>0.44862993831338216</v>
      </c>
      <c r="E52">
        <v>29</v>
      </c>
      <c r="F52">
        <v>29</v>
      </c>
      <c r="G52">
        <v>0.44862993800000001</v>
      </c>
      <c r="H52">
        <v>0.44701005589999998</v>
      </c>
      <c r="I52" t="s">
        <v>37</v>
      </c>
    </row>
    <row r="53" spans="1:9">
      <c r="A53" s="16">
        <v>43983</v>
      </c>
      <c r="B53" s="13">
        <v>104.199</v>
      </c>
      <c r="C53" s="14">
        <v>30</v>
      </c>
      <c r="D53" s="14">
        <f t="shared" si="0"/>
        <v>0.70552532642627652</v>
      </c>
      <c r="E53">
        <v>30</v>
      </c>
      <c r="F53">
        <v>30</v>
      </c>
      <c r="G53">
        <v>0.70552532599999995</v>
      </c>
      <c r="H53">
        <v>0.79284869540000003</v>
      </c>
      <c r="I53" t="s">
        <v>38</v>
      </c>
    </row>
    <row r="54" spans="1:9">
      <c r="A54" s="5">
        <v>44013</v>
      </c>
      <c r="B54" s="33">
        <v>104.541</v>
      </c>
      <c r="C54" s="31">
        <v>31</v>
      </c>
      <c r="D54" s="31">
        <f t="shared" si="0"/>
        <v>0.90050961315727807</v>
      </c>
      <c r="E54">
        <v>31</v>
      </c>
      <c r="F54">
        <v>31</v>
      </c>
      <c r="G54">
        <v>0.90050961299999999</v>
      </c>
      <c r="H54">
        <v>0.91014849990000002</v>
      </c>
      <c r="I54" t="s">
        <v>39</v>
      </c>
    </row>
    <row r="55" spans="1:9">
      <c r="A55" s="5">
        <v>44044</v>
      </c>
      <c r="B55" s="33">
        <v>104.869</v>
      </c>
      <c r="C55" s="31">
        <v>32</v>
      </c>
      <c r="D55" s="31">
        <f t="shared" si="0"/>
        <v>1.1653370119910076</v>
      </c>
      <c r="E55">
        <v>32</v>
      </c>
      <c r="F55">
        <v>32</v>
      </c>
      <c r="G55">
        <v>1.1653370119999999</v>
      </c>
      <c r="H55">
        <v>1.0274483044</v>
      </c>
      <c r="I55" t="s">
        <v>40</v>
      </c>
    </row>
    <row r="56" spans="1:9">
      <c r="A56" s="5">
        <v>44075</v>
      </c>
      <c r="B56" s="33">
        <v>105.048</v>
      </c>
      <c r="C56" s="31">
        <v>33</v>
      </c>
      <c r="D56" s="31">
        <f t="shared" si="0"/>
        <v>1.2471808315823938</v>
      </c>
      <c r="E56">
        <v>33</v>
      </c>
      <c r="F56">
        <v>33</v>
      </c>
      <c r="G56">
        <v>1.247180832</v>
      </c>
      <c r="H56">
        <v>1.1447481089</v>
      </c>
      <c r="I56" t="s">
        <v>41</v>
      </c>
    </row>
    <row r="57" spans="1:9">
      <c r="A57" s="5">
        <v>44105</v>
      </c>
      <c r="B57" s="33">
        <v>105.124</v>
      </c>
      <c r="C57" s="31">
        <v>34</v>
      </c>
      <c r="D57" s="31">
        <f t="shared" si="0"/>
        <v>1.11868873904637</v>
      </c>
      <c r="E57">
        <v>34</v>
      </c>
      <c r="F57">
        <v>34</v>
      </c>
      <c r="G57">
        <v>1.118688739</v>
      </c>
      <c r="H57">
        <v>1.2620479134</v>
      </c>
      <c r="I57" t="s">
        <v>42</v>
      </c>
    </row>
    <row r="58" spans="1:9">
      <c r="A58" s="16">
        <v>44136</v>
      </c>
      <c r="B58" s="13">
        <v>105.197</v>
      </c>
      <c r="C58" s="14">
        <v>35</v>
      </c>
      <c r="D58" s="14">
        <f t="shared" si="0"/>
        <v>1.1538794388299689</v>
      </c>
      <c r="E58">
        <v>35</v>
      </c>
      <c r="F58">
        <v>35</v>
      </c>
      <c r="G58">
        <v>1.153879439</v>
      </c>
      <c r="H58">
        <v>1.0193186811999999</v>
      </c>
      <c r="I58" t="s">
        <v>43</v>
      </c>
    </row>
    <row r="59" spans="1:9">
      <c r="A59" s="5">
        <v>44166</v>
      </c>
      <c r="B59" s="33">
        <v>105.70699999999999</v>
      </c>
      <c r="C59" s="31">
        <v>36</v>
      </c>
      <c r="D59" s="31">
        <f t="shared" si="0"/>
        <v>1.3664870255652914</v>
      </c>
      <c r="E59">
        <v>36</v>
      </c>
      <c r="F59">
        <v>36</v>
      </c>
      <c r="G59">
        <v>1.3664870259999999</v>
      </c>
      <c r="H59">
        <v>1.3830189502000001</v>
      </c>
      <c r="I59" t="s">
        <v>44</v>
      </c>
    </row>
    <row r="60" spans="1:9">
      <c r="A60" s="5">
        <v>44197</v>
      </c>
      <c r="B60" s="33">
        <v>106.145</v>
      </c>
      <c r="C60" s="31">
        <v>37</v>
      </c>
      <c r="D60" s="31">
        <f t="shared" si="0"/>
        <v>1.6150031591644467</v>
      </c>
      <c r="E60">
        <v>37</v>
      </c>
      <c r="F60">
        <v>37</v>
      </c>
      <c r="G60">
        <v>1.615003159</v>
      </c>
      <c r="H60">
        <v>1.7467192192000001</v>
      </c>
      <c r="I60" t="s">
        <v>45</v>
      </c>
    </row>
    <row r="61" spans="1:9">
      <c r="A61" s="5">
        <v>44228</v>
      </c>
      <c r="B61" s="33">
        <v>106.52200000000001</v>
      </c>
      <c r="C61" s="31">
        <v>38</v>
      </c>
      <c r="D61" s="31">
        <f t="shared" si="0"/>
        <v>1.8852043500301323</v>
      </c>
      <c r="E61">
        <v>38</v>
      </c>
      <c r="F61">
        <v>38</v>
      </c>
      <c r="G61">
        <v>1.88520435</v>
      </c>
      <c r="H61">
        <v>2.1104194881999998</v>
      </c>
      <c r="I61" t="s">
        <v>46</v>
      </c>
    </row>
    <row r="62" spans="1:9">
      <c r="A62" s="5">
        <v>44256</v>
      </c>
      <c r="B62" s="33">
        <v>107.066</v>
      </c>
      <c r="C62" s="31">
        <v>39</v>
      </c>
      <c r="D62" s="31">
        <f t="shared" si="0"/>
        <v>2.7130221224505489</v>
      </c>
      <c r="E62">
        <v>39</v>
      </c>
      <c r="F62">
        <v>39</v>
      </c>
      <c r="G62">
        <v>2.7130221219999999</v>
      </c>
      <c r="H62">
        <v>2.4741197572</v>
      </c>
      <c r="I62" t="s">
        <v>47</v>
      </c>
    </row>
    <row r="63" spans="1:9">
      <c r="A63" s="16">
        <v>44287</v>
      </c>
      <c r="B63" s="13">
        <v>107.66200000000001</v>
      </c>
      <c r="C63" s="14">
        <v>40</v>
      </c>
      <c r="D63" s="14">
        <f t="shared" si="0"/>
        <v>3.7246136652664839</v>
      </c>
      <c r="E63">
        <v>40</v>
      </c>
      <c r="F63">
        <v>40</v>
      </c>
      <c r="G63">
        <v>3.7246136650000001</v>
      </c>
      <c r="H63">
        <v>3.8702564268000001</v>
      </c>
      <c r="I63" t="s">
        <v>48</v>
      </c>
    </row>
    <row r="64" spans="1:9">
      <c r="A64" s="5">
        <v>44317</v>
      </c>
      <c r="B64" s="33">
        <v>108.20699999999999</v>
      </c>
      <c r="C64" s="31">
        <v>41</v>
      </c>
      <c r="D64" s="31">
        <f t="shared" si="0"/>
        <v>4.1553566272018418</v>
      </c>
      <c r="E64">
        <v>41</v>
      </c>
      <c r="F64">
        <v>41</v>
      </c>
      <c r="G64">
        <v>4.1553566269999997</v>
      </c>
      <c r="H64">
        <v>4.0712063672000003</v>
      </c>
      <c r="I64" t="s">
        <v>49</v>
      </c>
    </row>
    <row r="65" spans="1:9">
      <c r="A65" s="5">
        <v>44348</v>
      </c>
      <c r="B65" s="33">
        <v>108.755</v>
      </c>
      <c r="C65" s="31">
        <v>42</v>
      </c>
      <c r="D65" s="31">
        <f t="shared" si="0"/>
        <v>4.3724028061689628</v>
      </c>
      <c r="E65">
        <v>42</v>
      </c>
      <c r="F65">
        <v>42</v>
      </c>
      <c r="G65">
        <v>4.3724028060000002</v>
      </c>
      <c r="H65">
        <v>4.2721563076000004</v>
      </c>
      <c r="I65" t="s">
        <v>50</v>
      </c>
    </row>
    <row r="66" spans="1:9">
      <c r="A66" s="5">
        <v>44378</v>
      </c>
      <c r="B66" s="33">
        <v>109.28</v>
      </c>
      <c r="C66" s="31">
        <v>43</v>
      </c>
      <c r="D66" s="31">
        <f t="shared" si="0"/>
        <v>4.5331496733339112</v>
      </c>
      <c r="E66">
        <v>43</v>
      </c>
      <c r="F66">
        <v>43</v>
      </c>
      <c r="G66">
        <v>4.5331496729999996</v>
      </c>
      <c r="H66">
        <v>4.4731062479999997</v>
      </c>
      <c r="I66" t="s">
        <v>51</v>
      </c>
    </row>
    <row r="67" spans="1:9">
      <c r="A67" s="5">
        <v>44409</v>
      </c>
      <c r="B67" s="33">
        <v>109.74</v>
      </c>
      <c r="C67" s="31">
        <v>44</v>
      </c>
      <c r="D67" s="31">
        <f t="shared" si="0"/>
        <v>4.6448426131649914</v>
      </c>
      <c r="E67">
        <v>44</v>
      </c>
      <c r="F67">
        <v>44</v>
      </c>
      <c r="G67">
        <v>4.6448426129999998</v>
      </c>
      <c r="H67">
        <v>4.6740561884999998</v>
      </c>
      <c r="I67" t="s">
        <v>52</v>
      </c>
    </row>
    <row r="68" spans="1:9">
      <c r="A68" s="5">
        <v>44440</v>
      </c>
      <c r="B68" s="33">
        <v>110.096</v>
      </c>
      <c r="C68" s="31">
        <v>45</v>
      </c>
      <c r="D68" s="31">
        <f t="shared" si="0"/>
        <v>4.8054222831467532</v>
      </c>
      <c r="E68">
        <v>45</v>
      </c>
      <c r="F68">
        <v>45</v>
      </c>
      <c r="G68">
        <v>4.8054222830000004</v>
      </c>
      <c r="H68">
        <v>4.8750061289</v>
      </c>
      <c r="I68" t="s">
        <v>53</v>
      </c>
    </row>
    <row r="69" spans="1:9">
      <c r="A69" s="16">
        <v>44470</v>
      </c>
      <c r="B69" s="13">
        <v>110.80800000000001</v>
      </c>
      <c r="C69" s="14">
        <v>46</v>
      </c>
      <c r="D69" s="14">
        <f t="shared" si="0"/>
        <v>5.4069479852364948</v>
      </c>
      <c r="E69">
        <v>46</v>
      </c>
      <c r="F69">
        <v>46</v>
      </c>
      <c r="G69">
        <v>5.4069479850000004</v>
      </c>
      <c r="H69">
        <v>5.5590709274999996</v>
      </c>
      <c r="I69" t="s">
        <v>54</v>
      </c>
    </row>
    <row r="70" spans="1:9">
      <c r="A70" s="5">
        <v>44501</v>
      </c>
      <c r="B70" s="33">
        <v>111.494</v>
      </c>
      <c r="C70" s="31">
        <v>47</v>
      </c>
      <c r="D70" s="31">
        <f t="shared" si="0"/>
        <v>5.9859121457836224</v>
      </c>
      <c r="E70">
        <v>47</v>
      </c>
      <c r="F70">
        <v>47</v>
      </c>
      <c r="G70">
        <v>5.9859121460000004</v>
      </c>
      <c r="H70">
        <v>5.8227856459999998</v>
      </c>
      <c r="I70" t="s">
        <v>55</v>
      </c>
    </row>
    <row r="71" spans="1:9">
      <c r="A71" s="5">
        <v>44531</v>
      </c>
      <c r="B71" s="33">
        <v>112.24</v>
      </c>
      <c r="C71" s="31">
        <v>48</v>
      </c>
      <c r="D71" s="31">
        <f t="shared" si="0"/>
        <v>6.1802908038256712</v>
      </c>
      <c r="E71">
        <v>48</v>
      </c>
      <c r="F71">
        <v>48</v>
      </c>
      <c r="G71">
        <v>6.1802908040000002</v>
      </c>
      <c r="H71">
        <v>6.0865003644</v>
      </c>
      <c r="I71" t="s">
        <v>56</v>
      </c>
    </row>
    <row r="72" spans="1:9">
      <c r="A72" s="5">
        <v>44562</v>
      </c>
      <c r="B72" s="33">
        <v>112.82899999999999</v>
      </c>
      <c r="C72" s="31">
        <v>49</v>
      </c>
      <c r="D72" s="31">
        <f t="shared" si="0"/>
        <v>6.2970464930048493</v>
      </c>
      <c r="E72">
        <v>49</v>
      </c>
      <c r="F72">
        <v>49</v>
      </c>
      <c r="G72">
        <v>6.2970464929999999</v>
      </c>
      <c r="H72">
        <v>6.3502150829000001</v>
      </c>
      <c r="I72" t="s">
        <v>285</v>
      </c>
    </row>
    <row r="73" spans="1:9">
      <c r="A73" s="5">
        <v>44593</v>
      </c>
      <c r="B73" s="33">
        <v>113.496</v>
      </c>
      <c r="C73" s="31">
        <v>50</v>
      </c>
      <c r="D73" s="31">
        <f t="shared" si="0"/>
        <v>6.5470043746831541</v>
      </c>
      <c r="E73">
        <v>50</v>
      </c>
      <c r="F73">
        <v>50</v>
      </c>
      <c r="G73">
        <v>6.5470043750000002</v>
      </c>
      <c r="H73">
        <v>6.6139298014000003</v>
      </c>
      <c r="I73" t="s">
        <v>286</v>
      </c>
    </row>
    <row r="74" spans="1:9">
      <c r="A74" s="5">
        <v>44621</v>
      </c>
      <c r="B74" s="33">
        <v>114.446</v>
      </c>
      <c r="C74" s="31">
        <v>51</v>
      </c>
      <c r="D74" s="31">
        <f t="shared" si="0"/>
        <v>6.8929445388825537</v>
      </c>
      <c r="E74">
        <v>51</v>
      </c>
      <c r="F74">
        <v>51</v>
      </c>
      <c r="G74">
        <v>6.8929445390000001</v>
      </c>
      <c r="H74">
        <v>6.8776445197999996</v>
      </c>
      <c r="I74" t="s">
        <v>287</v>
      </c>
    </row>
    <row r="75" spans="1:9">
      <c r="A75" s="16">
        <v>44652</v>
      </c>
      <c r="B75" s="13">
        <v>114.789</v>
      </c>
      <c r="C75" s="14">
        <v>52</v>
      </c>
      <c r="D75" s="14">
        <f t="shared" si="0"/>
        <v>6.619791569913243</v>
      </c>
      <c r="E75">
        <v>52</v>
      </c>
      <c r="F75">
        <v>52</v>
      </c>
      <c r="G75">
        <v>6.6197915700000003</v>
      </c>
      <c r="H75">
        <v>7.3636539871000002</v>
      </c>
      <c r="I75" t="s">
        <v>288</v>
      </c>
    </row>
    <row r="76" spans="1:9">
      <c r="A76" s="5">
        <v>44682</v>
      </c>
      <c r="B76" s="33">
        <v>115.446</v>
      </c>
      <c r="C76" s="31">
        <v>53</v>
      </c>
      <c r="D76" s="31">
        <f t="shared" si="0"/>
        <v>6.6899553633313973</v>
      </c>
      <c r="E76">
        <v>53</v>
      </c>
      <c r="F76">
        <v>53</v>
      </c>
      <c r="G76">
        <v>6.6899553630000002</v>
      </c>
      <c r="H76">
        <v>7.1166343082000001</v>
      </c>
      <c r="I76" t="s">
        <v>289</v>
      </c>
    </row>
    <row r="77" spans="1:9">
      <c r="A77" s="5">
        <v>44713</v>
      </c>
      <c r="B77" s="33">
        <v>116.495</v>
      </c>
      <c r="C77" s="31">
        <v>54</v>
      </c>
      <c r="D77" s="31">
        <f t="shared" si="0"/>
        <v>7.1169141648659915</v>
      </c>
      <c r="E77">
        <v>54</v>
      </c>
      <c r="F77">
        <v>54</v>
      </c>
      <c r="G77">
        <v>7.1169141649999998</v>
      </c>
      <c r="H77">
        <v>6.8696146293</v>
      </c>
    </row>
    <row r="78" spans="1:9">
      <c r="A78" s="5">
        <v>44743</v>
      </c>
      <c r="B78" s="33">
        <v>116.511</v>
      </c>
      <c r="C78" s="31">
        <v>55</v>
      </c>
      <c r="D78" s="31">
        <f t="shared" si="0"/>
        <v>6.616947291361635</v>
      </c>
      <c r="E78">
        <v>55</v>
      </c>
      <c r="F78">
        <v>55</v>
      </c>
      <c r="G78">
        <v>6.6169472909999998</v>
      </c>
      <c r="H78">
        <v>6.6225949502999999</v>
      </c>
    </row>
    <row r="79" spans="1:9">
      <c r="A79" s="5">
        <v>44774</v>
      </c>
      <c r="B79" s="33">
        <v>116.89</v>
      </c>
      <c r="C79" s="31">
        <v>56</v>
      </c>
      <c r="D79" s="31">
        <f t="shared" si="0"/>
        <v>6.5154000364497957</v>
      </c>
      <c r="E79">
        <v>56</v>
      </c>
      <c r="F79">
        <v>56</v>
      </c>
      <c r="G79">
        <v>6.515400036</v>
      </c>
      <c r="H79">
        <v>6.3755752713999998</v>
      </c>
    </row>
    <row r="80" spans="1:9">
      <c r="A80" s="5">
        <v>44805</v>
      </c>
      <c r="B80" s="33">
        <v>117.31399999999999</v>
      </c>
      <c r="C80" s="31">
        <v>57</v>
      </c>
      <c r="D80" s="31">
        <f t="shared" si="0"/>
        <v>6.5560964976020832</v>
      </c>
      <c r="E80">
        <v>57</v>
      </c>
      <c r="F80">
        <v>57</v>
      </c>
      <c r="G80">
        <v>6.5560964979999996</v>
      </c>
      <c r="H80">
        <v>6.1285555924999997</v>
      </c>
    </row>
    <row r="81" spans="1:8">
      <c r="A81" s="5">
        <v>44835</v>
      </c>
      <c r="B81" s="33">
        <v>117.842</v>
      </c>
      <c r="C81" s="31">
        <v>58</v>
      </c>
      <c r="D81" s="31">
        <f t="shared" si="0"/>
        <v>6.3479171178976168</v>
      </c>
      <c r="E81">
        <v>58</v>
      </c>
      <c r="F81">
        <v>58</v>
      </c>
      <c r="G81">
        <v>6.3479171179999998</v>
      </c>
      <c r="H81">
        <v>5.8815359134999996</v>
      </c>
    </row>
    <row r="82" spans="1:8">
      <c r="A82" s="5">
        <v>44866</v>
      </c>
      <c r="B82" s="33">
        <v>118.104</v>
      </c>
      <c r="C82" s="31">
        <v>59</v>
      </c>
      <c r="D82" s="31">
        <f t="shared" si="0"/>
        <v>5.9285701472724988</v>
      </c>
      <c r="E82">
        <v>59</v>
      </c>
      <c r="F82">
        <v>59</v>
      </c>
      <c r="G82">
        <v>5.9285701470000003</v>
      </c>
      <c r="H82">
        <v>5.6345162346000004</v>
      </c>
    </row>
    <row r="83" spans="1:8">
      <c r="A83" s="5">
        <v>44896</v>
      </c>
      <c r="B83" s="33">
        <v>118.348</v>
      </c>
      <c r="C83" s="31">
        <v>60</v>
      </c>
      <c r="D83" s="31">
        <f t="shared" si="0"/>
        <v>5.441910192444765</v>
      </c>
      <c r="E83">
        <v>60</v>
      </c>
      <c r="F83">
        <v>60</v>
      </c>
      <c r="G83">
        <v>5.4419101919999999</v>
      </c>
      <c r="H83">
        <v>5.3874965557000003</v>
      </c>
    </row>
    <row r="84" spans="1:8">
      <c r="A84" s="5">
        <v>44927</v>
      </c>
      <c r="B84" s="33">
        <v>119.011</v>
      </c>
      <c r="C84" s="31">
        <v>61</v>
      </c>
      <c r="D84" s="31">
        <f t="shared" si="0"/>
        <v>5.4790878231660329</v>
      </c>
      <c r="E84">
        <v>61</v>
      </c>
      <c r="F84">
        <v>61</v>
      </c>
      <c r="G84">
        <v>5.4790878230000004</v>
      </c>
      <c r="H84">
        <v>5.1404768768000002</v>
      </c>
    </row>
    <row r="85" spans="1:8">
      <c r="A85" s="5">
        <v>44958</v>
      </c>
      <c r="B85" s="33">
        <v>119.386</v>
      </c>
      <c r="C85" s="31">
        <v>62</v>
      </c>
      <c r="D85" s="31">
        <f t="shared" si="0"/>
        <v>5.1896102065271021</v>
      </c>
      <c r="E85">
        <v>62</v>
      </c>
      <c r="F85">
        <v>62</v>
      </c>
      <c r="G85">
        <v>5.1896102070000003</v>
      </c>
      <c r="H85">
        <v>4.8934571978000001</v>
      </c>
    </row>
    <row r="86" spans="1:8">
      <c r="A86" s="5">
        <v>44986</v>
      </c>
      <c r="B86" s="33">
        <v>119.53</v>
      </c>
      <c r="C86" s="31">
        <v>63</v>
      </c>
      <c r="D86" s="31">
        <f t="shared" si="0"/>
        <v>4.4422697167222998</v>
      </c>
      <c r="E86">
        <v>63</v>
      </c>
      <c r="F86">
        <v>63</v>
      </c>
      <c r="G86">
        <v>4.4422697170000003</v>
      </c>
      <c r="H86">
        <v>4.6464375189</v>
      </c>
    </row>
    <row r="87" spans="1:8">
      <c r="A87" s="5">
        <v>45017</v>
      </c>
      <c r="B87" s="33">
        <v>119.893</v>
      </c>
      <c r="C87" s="31">
        <v>64</v>
      </c>
      <c r="D87" s="31">
        <f t="shared" si="0"/>
        <v>4.4464190819677833</v>
      </c>
      <c r="E87">
        <v>64</v>
      </c>
      <c r="F87">
        <v>64</v>
      </c>
      <c r="G87">
        <v>4.4464190820000002</v>
      </c>
      <c r="H87">
        <v>4.3994178399999999</v>
      </c>
    </row>
    <row r="88" spans="1:8">
      <c r="A88" s="5">
        <v>45047</v>
      </c>
      <c r="B88" s="33">
        <v>120.02</v>
      </c>
      <c r="C88" s="31">
        <v>65</v>
      </c>
      <c r="D88" s="31">
        <f t="shared" si="0"/>
        <v>3.9620255357483138</v>
      </c>
      <c r="E88">
        <v>65</v>
      </c>
      <c r="F88">
        <v>65</v>
      </c>
      <c r="G88">
        <v>3.9620255360000001</v>
      </c>
      <c r="H88">
        <v>4.1523981609999998</v>
      </c>
    </row>
    <row r="89" spans="1:8">
      <c r="A89" s="5">
        <v>45078</v>
      </c>
      <c r="B89" s="33">
        <v>120.221</v>
      </c>
      <c r="C89" s="31">
        <v>66</v>
      </c>
      <c r="D89" s="31">
        <f>100*(B89-B77)/B77</f>
        <v>3.1984205330700881</v>
      </c>
      <c r="E89">
        <v>66</v>
      </c>
      <c r="F89">
        <v>66</v>
      </c>
      <c r="G89">
        <v>3.1984205330000002</v>
      </c>
      <c r="H89">
        <v>3.9053784821000002</v>
      </c>
    </row>
    <row r="90" spans="1:8">
      <c r="A90" s="5">
        <v>45108</v>
      </c>
      <c r="B90" s="33">
        <v>120.438</v>
      </c>
      <c r="C90" s="31">
        <v>67</v>
      </c>
      <c r="D90" s="31">
        <f>100*(B90-B78)/B78</f>
        <v>3.370497206272375</v>
      </c>
      <c r="E90">
        <v>67</v>
      </c>
      <c r="F90">
        <v>67</v>
      </c>
      <c r="G90">
        <v>3.370497206</v>
      </c>
      <c r="H90">
        <v>3.6583588032000001</v>
      </c>
    </row>
    <row r="91" spans="1:8">
      <c r="A91" s="5">
        <v>45139</v>
      </c>
      <c r="B91" s="33">
        <v>120.877</v>
      </c>
      <c r="C91" s="31">
        <v>68</v>
      </c>
      <c r="D91" s="31">
        <f>100*(B91-B79)/B79</f>
        <v>3.410899135939768</v>
      </c>
      <c r="E91">
        <v>68</v>
      </c>
      <c r="F91">
        <v>68</v>
      </c>
      <c r="G91">
        <v>3.4108991359999998</v>
      </c>
      <c r="H91">
        <v>3.4113391243</v>
      </c>
    </row>
    <row r="92" spans="1:8">
      <c r="A92" s="5">
        <v>45170</v>
      </c>
      <c r="B92" s="33">
        <v>121.325</v>
      </c>
      <c r="C92" s="31">
        <v>69</v>
      </c>
      <c r="D92" s="31">
        <f>100*(B92-B80)/B80</f>
        <v>3.419029271868669</v>
      </c>
      <c r="E92">
        <v>69</v>
      </c>
      <c r="F92">
        <v>69</v>
      </c>
      <c r="G92">
        <v>3.419029272</v>
      </c>
      <c r="H92">
        <v>3.1643194452999999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202604</vt:lpstr>
      <vt:lpstr>202603</vt:lpstr>
      <vt:lpstr>202602</vt:lpstr>
      <vt:lpstr>202512</vt:lpstr>
      <vt:lpstr>202511</vt:lpstr>
      <vt:lpstr>202509</vt:lpstr>
      <vt:lpstr>202508</vt:lpstr>
      <vt:lpstr>202507</vt:lpstr>
      <vt:lpstr>202506</vt:lpstr>
      <vt:lpstr>202505</vt:lpstr>
      <vt:lpstr>202504</vt:lpstr>
      <vt:lpstr>202503</vt:lpstr>
      <vt:lpstr>202502</vt:lpstr>
      <vt:lpstr>202501</vt:lpstr>
      <vt:lpstr>202412</vt:lpstr>
      <vt:lpstr>202411</vt:lpstr>
      <vt:lpstr>202410</vt:lpstr>
      <vt:lpstr>202409</vt:lpstr>
      <vt:lpstr>202408</vt:lpstr>
      <vt:lpstr>202407</vt:lpstr>
      <vt:lpstr>202406</vt:lpstr>
      <vt:lpstr>202405</vt:lpstr>
      <vt:lpstr>202404</vt:lpstr>
      <vt:lpstr>202403</vt:lpstr>
      <vt:lpstr>202402</vt:lpstr>
      <vt:lpstr>202401</vt:lpstr>
      <vt:lpstr>202312</vt:lpstr>
      <vt:lpstr>202311</vt:lpstr>
      <vt:lpstr>202310</vt:lpstr>
      <vt:lpstr>202309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MP K</cp:lastModifiedBy>
  <dcterms:created xsi:type="dcterms:W3CDTF">2024-06-01T05:39:32Z</dcterms:created>
  <dcterms:modified xsi:type="dcterms:W3CDTF">2026-06-16T13:31:47Z</dcterms:modified>
</cp:coreProperties>
</file>